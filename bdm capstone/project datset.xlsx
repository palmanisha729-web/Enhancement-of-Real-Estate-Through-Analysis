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Ex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4454cfae39469a/Desktop/capstone project/"/>
    </mc:Choice>
  </mc:AlternateContent>
  <xr:revisionPtr revIDLastSave="673" documentId="13_ncr:1_{53CF131C-078F-447E-8CC6-D62B9E00E03A}" xr6:coauthVersionLast="47" xr6:coauthVersionMax="47" xr10:uidLastSave="{F717E2AA-450C-4D4B-8C4B-CD1D46C236C7}"/>
  <bookViews>
    <workbookView xWindow="-110" yWindow="-110" windowWidth="19420" windowHeight="11500" firstSheet="3" activeTab="3" xr2:uid="{E99862D4-CF5B-428C-942C-7503183A7B7F}"/>
  </bookViews>
  <sheets>
    <sheet name="Main Data " sheetId="1" r:id="rId1"/>
    <sheet name="competitor analysis" sheetId="12" r:id="rId2"/>
    <sheet name="deals per location " sheetId="6" r:id="rId3"/>
    <sheet name="rent vs sales" sheetId="11" r:id="rId4"/>
    <sheet name="corelation between comm &amp; deal" sheetId="7" r:id="rId5"/>
    <sheet name="corelation graph" sheetId="8" r:id="rId6"/>
    <sheet name="Frequency distribution " sheetId="3" r:id="rId7"/>
    <sheet name="measures of central tendency " sheetId="5" r:id="rId8"/>
    <sheet name="count " sheetId="4" r:id="rId9"/>
    <sheet name="histogram amt and age" sheetId="9" r:id="rId10"/>
    <sheet name="comm and location " sheetId="10" r:id="rId11"/>
  </sheets>
  <definedNames>
    <definedName name="_xlnm._FilterDatabase" localSheetId="0" hidden="1">'Main Data '!$A$1:$M$215</definedName>
    <definedName name="_xlchart.v1.0" hidden="1">'deals per location '!$D$3:$D$11</definedName>
    <definedName name="_xlchart.v1.1" hidden="1">'deals per location '!$E$3:$E$11</definedName>
    <definedName name="_xlchart.v1.2" hidden="1">'deals per location '!$F$3:$F$11</definedName>
    <definedName name="_xlchart.v1.3" hidden="1">'deals per location '!$G$3:$G$11</definedName>
    <definedName name="_xlchart.v1.4" hidden="1">'deals per location '!$H$3:$H$11</definedName>
    <definedName name="_xlchart.v1.5" hidden="1">'histogram amt and age'!$B$1</definedName>
    <definedName name="_xlchart.v1.6" hidden="1">'histogram amt and age'!$B$2:$B$215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6" l="1"/>
  <c r="D226" i="1"/>
  <c r="B225" i="1"/>
  <c r="B224" i="1"/>
  <c r="J218" i="1"/>
  <c r="K218" i="1"/>
  <c r="L218" i="1"/>
  <c r="M218" i="1"/>
  <c r="G218" i="1"/>
  <c r="H218" i="1"/>
  <c r="I218" i="1"/>
  <c r="G221" i="1"/>
  <c r="H221" i="1"/>
  <c r="I221" i="1"/>
  <c r="J221" i="1"/>
  <c r="K221" i="1"/>
  <c r="L221" i="1"/>
  <c r="M221" i="1"/>
  <c r="G220" i="1"/>
  <c r="H220" i="1"/>
  <c r="I220" i="1"/>
  <c r="J220" i="1"/>
  <c r="K220" i="1"/>
  <c r="L220" i="1"/>
  <c r="M220" i="1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5" i="5"/>
  <c r="J6" i="5"/>
  <c r="J7" i="5"/>
  <c r="J8" i="5"/>
  <c r="J9" i="5"/>
  <c r="J10" i="5"/>
  <c r="J11" i="5"/>
  <c r="J12" i="5"/>
  <c r="J4" i="5"/>
  <c r="J3" i="5"/>
  <c r="J2" i="5"/>
  <c r="E10" i="5"/>
  <c r="H218" i="5"/>
  <c r="H217" i="5"/>
  <c r="H219" i="5" s="1"/>
  <c r="M217" i="1"/>
  <c r="M3" i="1"/>
  <c r="M4" i="1"/>
  <c r="M2" i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" i="8"/>
  <c r="G20" i="6"/>
  <c r="H20" i="6"/>
  <c r="K20" i="6" s="1"/>
  <c r="L20" i="6" s="1"/>
  <c r="H19" i="6"/>
  <c r="G18" i="6"/>
  <c r="H18" i="6"/>
  <c r="G17" i="6"/>
  <c r="K17" i="6"/>
  <c r="L17" i="6" s="1"/>
  <c r="H17" i="6"/>
  <c r="G16" i="6"/>
  <c r="K15" i="6"/>
  <c r="L15" i="6" s="1"/>
  <c r="H15" i="6"/>
  <c r="G15" i="6"/>
  <c r="K16" i="6"/>
  <c r="L16" i="6" s="1"/>
  <c r="K18" i="6"/>
  <c r="L18" i="6" s="1"/>
  <c r="K19" i="6"/>
  <c r="L19" i="6" s="1"/>
  <c r="H14" i="6"/>
  <c r="K14" i="6" s="1"/>
  <c r="B28" i="4"/>
  <c r="B4" i="4"/>
  <c r="C4" i="3"/>
  <c r="C3" i="3"/>
  <c r="C2" i="3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l="1"/>
  <c r="A168" i="1" s="1"/>
  <c r="A167" i="1"/>
</calcChain>
</file>

<file path=xl/sharedStrings.xml><?xml version="1.0" encoding="utf-8"?>
<sst xmlns="http://schemas.openxmlformats.org/spreadsheetml/2006/main" count="1472" uniqueCount="125">
  <si>
    <t>S.No.</t>
  </si>
  <si>
    <t>Property Type</t>
  </si>
  <si>
    <t>Deal Type</t>
  </si>
  <si>
    <t>Property Location</t>
  </si>
  <si>
    <t>Reason for Buying</t>
  </si>
  <si>
    <t>Amount of Deal</t>
  </si>
  <si>
    <t>Deal Source</t>
  </si>
  <si>
    <t>Commission Earned from Seller</t>
  </si>
  <si>
    <t>Commission Earned from Buyer</t>
  </si>
  <si>
    <t>Client Gender</t>
  </si>
  <si>
    <t>Client's Age</t>
  </si>
  <si>
    <t>Number of Dealers Involved</t>
  </si>
  <si>
    <t>Expense Incurred</t>
  </si>
  <si>
    <t>flat</t>
  </si>
  <si>
    <t>sale</t>
  </si>
  <si>
    <t>Aadarash Nagar</t>
  </si>
  <si>
    <t>resident</t>
  </si>
  <si>
    <t>personal networking</t>
  </si>
  <si>
    <t>Male</t>
  </si>
  <si>
    <t>shop</t>
  </si>
  <si>
    <t>Majlis Park</t>
  </si>
  <si>
    <t>commercial</t>
  </si>
  <si>
    <t>Female</t>
  </si>
  <si>
    <t>plot</t>
  </si>
  <si>
    <t>Indira Nagar</t>
  </si>
  <si>
    <t>direct</t>
  </si>
  <si>
    <t>Model Town</t>
  </si>
  <si>
    <t>rent</t>
  </si>
  <si>
    <t>Azadpur</t>
  </si>
  <si>
    <t>Kewal Park</t>
  </si>
  <si>
    <t>Mukund Pur</t>
  </si>
  <si>
    <t xml:space="preserve">mode </t>
  </si>
  <si>
    <t>median</t>
  </si>
  <si>
    <t xml:space="preserve">standard deviation </t>
  </si>
  <si>
    <t xml:space="preserve">range </t>
  </si>
  <si>
    <t xml:space="preserve">variance </t>
  </si>
  <si>
    <t xml:space="preserve">median of rent </t>
  </si>
  <si>
    <t xml:space="preserve">median of sales </t>
  </si>
  <si>
    <t>area</t>
  </si>
  <si>
    <t xml:space="preserve">ratings </t>
  </si>
  <si>
    <t>total number of agents listed</t>
  </si>
  <si>
    <t>Aadrash nagar</t>
  </si>
  <si>
    <t>4-4.5</t>
  </si>
  <si>
    <t>4.2-4.8</t>
  </si>
  <si>
    <t>kewal park</t>
  </si>
  <si>
    <t>3.8-4.2</t>
  </si>
  <si>
    <t>Majlis park</t>
  </si>
  <si>
    <t>4-4.7</t>
  </si>
  <si>
    <t>4.8-5</t>
  </si>
  <si>
    <t>Mukundpur</t>
  </si>
  <si>
    <t>3-4.2</t>
  </si>
  <si>
    <t xml:space="preserve"> Location </t>
  </si>
  <si>
    <t xml:space="preserve">Count </t>
  </si>
  <si>
    <t xml:space="preserve">Amount of deals </t>
  </si>
  <si>
    <t xml:space="preserve">commission earned from from location from seller </t>
  </si>
  <si>
    <t>commission earned from from location from buyer</t>
  </si>
  <si>
    <t>Column1</t>
  </si>
  <si>
    <t>type of deal</t>
  </si>
  <si>
    <t xml:space="preserve">Azadpur  </t>
  </si>
  <si>
    <t xml:space="preserve">Kewal Park </t>
  </si>
  <si>
    <t xml:space="preserve">Majlis Park </t>
  </si>
  <si>
    <t xml:space="preserve">Mukundpur New </t>
  </si>
  <si>
    <t xml:space="preserve">Aadarsh Nagar </t>
  </si>
  <si>
    <t xml:space="preserve">count of plot </t>
  </si>
  <si>
    <t>count of shop</t>
  </si>
  <si>
    <t xml:space="preserve">count of flat </t>
  </si>
  <si>
    <t xml:space="preserve">location </t>
  </si>
  <si>
    <t xml:space="preserve">sale </t>
  </si>
  <si>
    <t xml:space="preserve">commission earned from sale </t>
  </si>
  <si>
    <t xml:space="preserve">commission earned from rent </t>
  </si>
  <si>
    <t xml:space="preserve">expenses incured </t>
  </si>
  <si>
    <t>amount of deal</t>
  </si>
  <si>
    <t xml:space="preserve">Total commission earned </t>
  </si>
  <si>
    <t xml:space="preserve">Net Profit </t>
  </si>
  <si>
    <t xml:space="preserve">Model Town </t>
  </si>
  <si>
    <t xml:space="preserve">Location </t>
  </si>
  <si>
    <t xml:space="preserve">Deal Type </t>
  </si>
  <si>
    <t xml:space="preserve">total sum </t>
  </si>
  <si>
    <t>Total commission earned from seller</t>
  </si>
  <si>
    <t>Total commission earned from buyer</t>
  </si>
  <si>
    <t xml:space="preserve">no of deals </t>
  </si>
  <si>
    <t xml:space="preserve">Sale </t>
  </si>
  <si>
    <t>Rent</t>
  </si>
  <si>
    <t xml:space="preserve">total commission earned </t>
  </si>
  <si>
    <t xml:space="preserve">Property Type </t>
  </si>
  <si>
    <t xml:space="preserve">Frequency Distribution </t>
  </si>
  <si>
    <t>Relative Frequency</t>
  </si>
  <si>
    <t>Flat</t>
  </si>
  <si>
    <t>Plot</t>
  </si>
  <si>
    <t>Shop</t>
  </si>
  <si>
    <t>Grand Total</t>
  </si>
  <si>
    <t>Lead source</t>
  </si>
  <si>
    <t>count of lead source</t>
  </si>
  <si>
    <t xml:space="preserve">personal Networking </t>
  </si>
  <si>
    <t>Direct</t>
  </si>
  <si>
    <t>Total</t>
  </si>
  <si>
    <t>variable</t>
  </si>
  <si>
    <t>Average</t>
  </si>
  <si>
    <t>Total sum</t>
  </si>
  <si>
    <t>mode</t>
  </si>
  <si>
    <t xml:space="preserve">median </t>
  </si>
  <si>
    <t>std dev</t>
  </si>
  <si>
    <t xml:space="preserve">clustering </t>
  </si>
  <si>
    <t>commission earned from buyer</t>
  </si>
  <si>
    <t>commission earned from seller</t>
  </si>
  <si>
    <t>expenses incured</t>
  </si>
  <si>
    <t xml:space="preserve">median of client </t>
  </si>
  <si>
    <t>Type Of Deal</t>
  </si>
  <si>
    <t>Count</t>
  </si>
  <si>
    <t>Sale</t>
  </si>
  <si>
    <t>Total Deals</t>
  </si>
  <si>
    <t>Location</t>
  </si>
  <si>
    <t>count of location</t>
  </si>
  <si>
    <t xml:space="preserve">Aadrash Nagar </t>
  </si>
  <si>
    <t>Purpose of deal</t>
  </si>
  <si>
    <t>count</t>
  </si>
  <si>
    <t xml:space="preserve">Resident </t>
  </si>
  <si>
    <t>Commercial</t>
  </si>
  <si>
    <t>Gender</t>
  </si>
  <si>
    <t>Column2</t>
  </si>
  <si>
    <t>Column6</t>
  </si>
  <si>
    <t>Column9</t>
  </si>
  <si>
    <t xml:space="preserve"> shop</t>
  </si>
  <si>
    <t xml:space="preserve"> flat </t>
  </si>
  <si>
    <t xml:space="preserve"> plot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</si>
</sst>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2" fontId="0" fillId="0" borderId="0" xfId="0" applyNumberFormat="1"/>
    <xf numFmtId="8" fontId="0" fillId="0" borderId="0" xfId="0" applyNumberFormat="1"/>
    <xf numFmtId="164" fontId="0" fillId="0" borderId="0" xfId="0" applyNumberFormat="1"/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2" borderId="2" xfId="0" applyFont="1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'competitor analysis'!$C$1</c:f>
              <c:strCache>
                <c:ptCount val="1"/>
                <c:pt idx="0">
                  <c:v>total number of agents listed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3D-4E5C-9D59-F3E198AD3C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3D-4E5C-9D59-F3E198AD3C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3D-4E5C-9D59-F3E198AD3C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3D-4E5C-9D59-F3E198AD3C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3D-4E5C-9D59-F3E198AD3C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A3D-4E5C-9D59-F3E198AD3C5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'competitor analysis'!$A$2:$A$7</c:f>
              <c:strCache>
                <c:ptCount val="6"/>
                <c:pt idx="0">
                  <c:v>Aadrash nagar</c:v>
                </c:pt>
                <c:pt idx="1">
                  <c:v>Azadpur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</c:v>
                </c:pt>
                <c:pt idx="5">
                  <c:v>Mukundpur</c:v>
                </c:pt>
              </c:strCache>
            </c:strRef>
          </c:cat>
          <c:val>
            <c:numRef>
              <c:f>'competitor analysis'!$C$2:$C$7</c:f>
              <c:numCache>
                <c:formatCode>General</c:formatCode>
                <c:ptCount val="6"/>
                <c:pt idx="0">
                  <c:v>51</c:v>
                </c:pt>
                <c:pt idx="1">
                  <c:v>72</c:v>
                </c:pt>
                <c:pt idx="2">
                  <c:v>17</c:v>
                </c:pt>
                <c:pt idx="3">
                  <c:v>12</c:v>
                </c:pt>
                <c:pt idx="4">
                  <c:v>43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A-4828-8111-BDC84E8D71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'competitor analysis'!$C$1</c:f>
              <c:strCache>
                <c:ptCount val="1"/>
                <c:pt idx="0">
                  <c:v>total number of agents listed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'competitor analysis'!$A$2:$A$7</c:f>
              <c:strCache>
                <c:ptCount val="6"/>
                <c:pt idx="0">
                  <c:v>Aadrash nagar</c:v>
                </c:pt>
                <c:pt idx="1">
                  <c:v>Azadpur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</c:v>
                </c:pt>
                <c:pt idx="5">
                  <c:v>Mukundpur</c:v>
                </c:pt>
              </c:strCache>
            </c:strRef>
          </c:cat>
          <c:val>
            <c:numRef>
              <c:f>'competitor analysis'!$C$2:$C$7</c:f>
              <c:numCache>
                <c:formatCode>General</c:formatCode>
                <c:ptCount val="6"/>
                <c:pt idx="0">
                  <c:v>51</c:v>
                </c:pt>
                <c:pt idx="1">
                  <c:v>72</c:v>
                </c:pt>
                <c:pt idx="2">
                  <c:v>17</c:v>
                </c:pt>
                <c:pt idx="3">
                  <c:v>12</c:v>
                </c:pt>
                <c:pt idx="4">
                  <c:v>43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9-44F3-8F8E-EBF4AE578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6575920"/>
        <c:axId val="346573040"/>
      </c:barChart>
      <c:catAx>
        <c:axId val="34657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73040"/>
        <c:crosses val="autoZero"/>
        <c:auto val="1"/>
        <c:lblAlgn val="ctr"/>
        <c:lblOffset val="100"/>
        <c:noMultiLvlLbl val="0"/>
      </c:catAx>
      <c:valAx>
        <c:axId val="34657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7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location wise deals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'deals per location '!$D$3</c:f>
              <c:strCache>
                <c:ptCount val="1"/>
                <c:pt idx="0">
                  <c:v>Azadpur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'!$E$3:$H$3</c:f>
              <c:numCache>
                <c:formatCode>"₹"\ #,##0.00</c:formatCode>
                <c:ptCount val="4"/>
                <c:pt idx="0" formatCode="General">
                  <c:v>37</c:v>
                </c:pt>
                <c:pt idx="1">
                  <c:v>1079000</c:v>
                </c:pt>
                <c:pt idx="2">
                  <c:v>539500</c:v>
                </c:pt>
                <c:pt idx="3">
                  <c:v>539500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5-44E3-8D93-42BE0F2EB297}"/>
            </c:ext>
          </c:extLst>
        </c:ser>
        <c:ser>
          <c:idx val="1"/>
          <c:order val="1"/>
          <c:tx>
            <c:strRef>
              <c:f>'deals per location '!$D$4</c:f>
              <c:strCache>
                <c:ptCount val="1"/>
                <c:pt idx="0">
                  <c:v>Indira Nagar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'!$E$4:$H$4</c:f>
              <c:numCache>
                <c:formatCode>"₹"\ #,##0.00</c:formatCode>
                <c:ptCount val="4"/>
                <c:pt idx="0" formatCode="General">
                  <c:v>46</c:v>
                </c:pt>
                <c:pt idx="1">
                  <c:v>74409000</c:v>
                </c:pt>
                <c:pt idx="2">
                  <c:v>1189500</c:v>
                </c:pt>
                <c:pt idx="3">
                  <c:v>989500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5-44E3-8D93-42BE0F2EB297}"/>
            </c:ext>
          </c:extLst>
        </c:ser>
        <c:ser>
          <c:idx val="2"/>
          <c:order val="2"/>
          <c:tx>
            <c:strRef>
              <c:f>'deals per location '!$D$5</c:f>
              <c:strCache>
                <c:ptCount val="1"/>
                <c:pt idx="0">
                  <c:v>Kewal Park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'!$E$5:$H$5</c:f>
              <c:numCache>
                <c:formatCode>"₹"\ #,##0.00</c:formatCode>
                <c:ptCount val="4"/>
                <c:pt idx="0" formatCode="General">
                  <c:v>4</c:v>
                </c:pt>
                <c:pt idx="1">
                  <c:v>2006000</c:v>
                </c:pt>
                <c:pt idx="2">
                  <c:v>92000</c:v>
                </c:pt>
                <c:pt idx="3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5-44E3-8D93-42BE0F2EB297}"/>
            </c:ext>
          </c:extLst>
        </c:ser>
        <c:ser>
          <c:idx val="3"/>
          <c:order val="3"/>
          <c:tx>
            <c:strRef>
              <c:f>'deals per location '!$D$6</c:f>
              <c:strCache>
                <c:ptCount val="1"/>
                <c:pt idx="0">
                  <c:v>Majlis Park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'!$E$6:$H$6</c:f>
              <c:numCache>
                <c:formatCode>"₹"\ #,##0.00</c:formatCode>
                <c:ptCount val="4"/>
                <c:pt idx="0" formatCode="General">
                  <c:v>33</c:v>
                </c:pt>
                <c:pt idx="1">
                  <c:v>62055000</c:v>
                </c:pt>
                <c:pt idx="2">
                  <c:v>642500</c:v>
                </c:pt>
                <c:pt idx="3">
                  <c:v>892500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5-44E3-8D93-42BE0F2EB297}"/>
            </c:ext>
          </c:extLst>
        </c:ser>
        <c:ser>
          <c:idx val="4"/>
          <c:order val="4"/>
          <c:tx>
            <c:strRef>
              <c:f>'deals per location '!$D$7</c:f>
              <c:strCache>
                <c:ptCount val="1"/>
                <c:pt idx="0">
                  <c:v>Model Town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'!$E$7:$H$7</c:f>
              <c:numCache>
                <c:formatCode>"₹"\ #,##0.00</c:formatCode>
                <c:ptCount val="4"/>
                <c:pt idx="0" formatCode="General">
                  <c:v>41</c:v>
                </c:pt>
                <c:pt idx="1">
                  <c:v>45207000</c:v>
                </c:pt>
                <c:pt idx="2">
                  <c:v>793500</c:v>
                </c:pt>
                <c:pt idx="3">
                  <c:v>1043500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5-44E3-8D93-42BE0F2EB297}"/>
            </c:ext>
          </c:extLst>
        </c:ser>
        <c:ser>
          <c:idx val="5"/>
          <c:order val="5"/>
          <c:tx>
            <c:strRef>
              <c:f>'deals per location '!$D$8</c:f>
              <c:strCache>
                <c:ptCount val="1"/>
                <c:pt idx="0">
                  <c:v>Mukundpur New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'!$E$8:$H$8</c:f>
              <c:numCache>
                <c:formatCode>"₹"\ #,##0.00</c:formatCode>
                <c:ptCount val="4"/>
                <c:pt idx="0" formatCode="General">
                  <c:v>12</c:v>
                </c:pt>
                <c:pt idx="1">
                  <c:v>30199000</c:v>
                </c:pt>
                <c:pt idx="2">
                  <c:v>399500</c:v>
                </c:pt>
                <c:pt idx="3">
                  <c:v>399500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5-44E3-8D93-42BE0F2EB297}"/>
            </c:ext>
          </c:extLst>
        </c:ser>
        <c:ser>
          <c:idx val="6"/>
          <c:order val="6"/>
          <c:tx>
            <c:strRef>
              <c:f>'deals per location '!$D$9</c:f>
              <c:strCache>
                <c:ptCount val="1"/>
                <c:pt idx="0">
                  <c:v>Aadarsh Nagar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'deals per location '!$E$2:$H$2</c:f>
              <c:strCache>
                <c:ptCount val="4"/>
                <c:pt idx="0">
                  <c:v>Count </c:v>
                </c:pt>
                <c:pt idx="1">
                  <c:v>Amount of deals </c:v>
                </c:pt>
                <c:pt idx="2">
                  <c:v>commission earned from from location from seller </c:v>
                </c:pt>
                <c:pt idx="3">
                  <c:v>commission earned from from location from buyer</c:v>
                </c:pt>
              </c:strCache>
            </c:strRef>
          </c:cat>
          <c:val>
            <c:numRef>
              <c:f>'deals per location '!$E$9:$H$9</c:f>
              <c:numCache>
                <c:formatCode>"₹"\ #,##0.00</c:formatCode>
                <c:ptCount val="4"/>
                <c:pt idx="0" formatCode="General">
                  <c:v>41</c:v>
                </c:pt>
                <c:pt idx="1">
                  <c:v>29180000</c:v>
                </c:pt>
                <c:pt idx="2">
                  <c:v>625000</c:v>
                </c:pt>
                <c:pt idx="3">
                  <c:v>625000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5-44E3-8D93-42BE0F2EB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3210688"/>
        <c:axId val="1523207808"/>
      </c:barChart>
      <c:catAx>
        <c:axId val="15232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207808"/>
        <c:crosses val="autoZero"/>
        <c:auto val="1"/>
        <c:lblAlgn val="ctr"/>
        <c:lblOffset val="100"/>
        <c:noMultiLvlLbl val="0"/>
      </c:catAx>
      <c:valAx>
        <c:axId val="152320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2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plot,flat and shops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'deals per location '!$A$14:$A$22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F-4644-9866-C961D2165675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'deals per location '!$B$14:$B$22</c:f>
              <c:numCache>
                <c:formatCode>General</c:formatCode>
                <c:ptCount val="9"/>
                <c:pt idx="0">
                  <c:v>33</c:v>
                </c:pt>
                <c:pt idx="1">
                  <c:v>11</c:v>
                </c:pt>
                <c:pt idx="2">
                  <c:v>2</c:v>
                </c:pt>
                <c:pt idx="3">
                  <c:v>5</c:v>
                </c:pt>
                <c:pt idx="4">
                  <c:v>30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F-4644-9866-C961D2165675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'deals per location '!$C$14:$C$22</c:f>
              <c:numCache>
                <c:formatCode>General</c:formatCode>
                <c:ptCount val="9"/>
                <c:pt idx="0">
                  <c:v>4</c:v>
                </c:pt>
                <c:pt idx="1">
                  <c:v>36</c:v>
                </c:pt>
                <c:pt idx="2">
                  <c:v>2</c:v>
                </c:pt>
                <c:pt idx="3">
                  <c:v>26</c:v>
                </c:pt>
                <c:pt idx="4">
                  <c:v>11</c:v>
                </c:pt>
                <c:pt idx="5">
                  <c:v>11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F-4644-9866-C961D2165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28160"/>
        <c:axId val="212029600"/>
      </c:lineChart>
      <c:catAx>
        <c:axId val="2120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9600"/>
        <c:crosses val="autoZero"/>
        <c:auto val="1"/>
        <c:lblAlgn val="ctr"/>
        <c:lblOffset val="100"/>
        <c:noMultiLvlLbl val="0"/>
      </c:catAx>
      <c:valAx>
        <c:axId val="21202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deals per location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'deals per location '!$E$2</c:f>
              <c:strCache>
                <c:ptCount val="1"/>
                <c:pt idx="0">
                  <c:v>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39B-4241-B73C-76CF2CF273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9B-4241-B73C-76CF2CF273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39B-4241-B73C-76CF2CF273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9B-4241-B73C-76CF2CF273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39B-4241-B73C-76CF2CF273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9B-4241-B73C-76CF2CF273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39B-4241-B73C-76CF2CF273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9B-4241-B73C-76CF2CF2738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'deals per location '!$D$3:$D$10</c:f>
              <c:strCache>
                <c:ptCount val="7"/>
                <c:pt idx="0">
                  <c:v>Azadpur  </c:v>
                </c:pt>
                <c:pt idx="1">
                  <c:v>Indira Nagar</c:v>
                </c:pt>
                <c:pt idx="2">
                  <c:v>Kewal Park </c:v>
                </c:pt>
                <c:pt idx="3">
                  <c:v>Majlis Park </c:v>
                </c:pt>
                <c:pt idx="4">
                  <c:v>Model Town</c:v>
                </c:pt>
                <c:pt idx="5">
                  <c:v>Mukundpur New </c:v>
                </c:pt>
                <c:pt idx="6">
                  <c:v>Aadarsh Nagar </c:v>
                </c:pt>
              </c:strCache>
            </c:strRef>
          </c:cat>
          <c:val>
            <c:numRef>
              <c:f>'deals per location '!$E$3:$E$10</c:f>
              <c:numCache>
                <c:formatCode>General</c:formatCode>
                <c:ptCount val="8"/>
                <c:pt idx="0">
                  <c:v>37</c:v>
                </c:pt>
                <c:pt idx="1">
                  <c:v>46</c:v>
                </c:pt>
                <c:pt idx="2">
                  <c:v>4</c:v>
                </c:pt>
                <c:pt idx="3">
                  <c:v>33</c:v>
                </c:pt>
                <c:pt idx="4">
                  <c:v>41</c:v>
                </c:pt>
                <c:pt idx="5">
                  <c:v>12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B-4241-B73C-76CF2CF273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Rent Vs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'deals per location '!$E$13</c:f>
              <c:strCache>
                <c:ptCount val="1"/>
                <c:pt idx="0">
                  <c:v>sale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'deals per location '!$D$14:$D$20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'deals per location '!$E$14:$E$20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3-4826-89A1-EBA9C86A9B7C}"/>
            </c:ext>
          </c:extLst>
        </c:ser>
        <c:ser>
          <c:idx val="1"/>
          <c:order val="1"/>
          <c:tx>
            <c:strRef>
              <c:f>'deals per location '!$F$13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'deals per location '!$D$14:$D$20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'deals per location '!$F$14:$F$20</c:f>
              <c:numCache>
                <c:formatCode>General</c:formatCode>
                <c:ptCount val="7"/>
                <c:pt idx="0">
                  <c:v>38</c:v>
                </c:pt>
                <c:pt idx="1">
                  <c:v>42</c:v>
                </c:pt>
                <c:pt idx="2">
                  <c:v>2</c:v>
                </c:pt>
                <c:pt idx="3">
                  <c:v>29</c:v>
                </c:pt>
                <c:pt idx="4">
                  <c:v>38</c:v>
                </c:pt>
                <c:pt idx="5">
                  <c:v>10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3-4826-89A1-EBA9C86A9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669808"/>
        <c:axId val="126154384"/>
      </c:barChart>
      <c:catAx>
        <c:axId val="2066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54384"/>
        <c:crosses val="autoZero"/>
        <c:auto val="1"/>
        <c:lblAlgn val="ctr"/>
        <c:lblOffset val="100"/>
        <c:noMultiLvlLbl val="0"/>
      </c:catAx>
      <c:valAx>
        <c:axId val="12615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Rent v/s sales commission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vs sales'!$K$1</c:f>
              <c:strCache>
                <c:ptCount val="1"/>
                <c:pt idx="0">
                  <c:v>commission earned from sale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vs sales'!$J$2:$J$8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'rent vs sales'!$K$2:$K$8</c:f>
              <c:numCache>
                <c:formatCode>General</c:formatCode>
                <c:ptCount val="7"/>
                <c:pt idx="0">
                  <c:v>0</c:v>
                </c:pt>
                <c:pt idx="1">
                  <c:v>1270000</c:v>
                </c:pt>
                <c:pt idx="2">
                  <c:v>160000</c:v>
                </c:pt>
                <c:pt idx="3">
                  <c:v>980000</c:v>
                </c:pt>
                <c:pt idx="4">
                  <c:v>630000</c:v>
                </c:pt>
                <c:pt idx="5">
                  <c:v>600000</c:v>
                </c:pt>
                <c:pt idx="6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7-49DE-8DA0-9057C8A77FCE}"/>
            </c:ext>
          </c:extLst>
        </c:ser>
        <c:ser>
          <c:idx val="1"/>
          <c:order val="1"/>
          <c:tx>
            <c:strRef>
              <c:f>'rent vs sales'!$L$1</c:f>
              <c:strCache>
                <c:ptCount val="1"/>
                <c:pt idx="0">
                  <c:v>commission earned from rent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'rent vs sales'!$J$2:$J$8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'rent vs sales'!$L$2:$L$8</c:f>
              <c:numCache>
                <c:formatCode>General</c:formatCode>
                <c:ptCount val="7"/>
                <c:pt idx="0">
                  <c:v>1079000</c:v>
                </c:pt>
                <c:pt idx="1">
                  <c:v>909000</c:v>
                </c:pt>
                <c:pt idx="2">
                  <c:v>24000</c:v>
                </c:pt>
                <c:pt idx="3">
                  <c:v>555000</c:v>
                </c:pt>
                <c:pt idx="4">
                  <c:v>1207000</c:v>
                </c:pt>
                <c:pt idx="5">
                  <c:v>199000</c:v>
                </c:pt>
                <c:pt idx="6">
                  <c:v>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7-49DE-8DA0-9057C8A7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192544"/>
        <c:axId val="1570191584"/>
      </c:barChart>
      <c:catAx>
        <c:axId val="15701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91584"/>
        <c:crosses val="autoZero"/>
        <c:auto val="1"/>
        <c:lblAlgn val="ctr"/>
        <c:lblOffset val="100"/>
        <c:noMultiLvlLbl val="0"/>
      </c:catAx>
      <c:valAx>
        <c:axId val="15701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'rent vs sales'!$K$1</c:f>
              <c:strCache>
                <c:ptCount val="1"/>
                <c:pt idx="0">
                  <c:v>commission earned from sale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'rent vs sales'!$J$2:$J$8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'rent vs sales'!$K$2:$K$8</c:f>
              <c:numCache>
                <c:formatCode>General</c:formatCode>
                <c:ptCount val="7"/>
                <c:pt idx="0">
                  <c:v>0</c:v>
                </c:pt>
                <c:pt idx="1">
                  <c:v>1270000</c:v>
                </c:pt>
                <c:pt idx="2">
                  <c:v>160000</c:v>
                </c:pt>
                <c:pt idx="3">
                  <c:v>980000</c:v>
                </c:pt>
                <c:pt idx="4">
                  <c:v>630000</c:v>
                </c:pt>
                <c:pt idx="5">
                  <c:v>600000</c:v>
                </c:pt>
                <c:pt idx="6">
                  <c:v>570000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0-4F07-8E16-9667D329CEDF}"/>
            </c:ext>
          </c:extLst>
        </c:ser>
        <c:ser>
          <c:idx val="1"/>
          <c:order val="1"/>
          <c:tx>
            <c:strRef>
              <c:f>'rent vs sales'!$L$1</c:f>
              <c:strCache>
                <c:ptCount val="1"/>
                <c:pt idx="0">
                  <c:v>commission earned from rent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'rent vs sales'!$J$2:$J$8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'rent vs sales'!$L$2:$L$8</c:f>
              <c:numCache>
                <c:formatCode>General</c:formatCode>
                <c:ptCount val="7"/>
                <c:pt idx="0">
                  <c:v>1079000</c:v>
                </c:pt>
                <c:pt idx="1">
                  <c:v>909000</c:v>
                </c:pt>
                <c:pt idx="2">
                  <c:v>24000</c:v>
                </c:pt>
                <c:pt idx="3">
                  <c:v>555000</c:v>
                </c:pt>
                <c:pt idx="4">
                  <c:v>1207000</c:v>
                </c:pt>
                <c:pt idx="5">
                  <c:v>199000</c:v>
                </c:pt>
                <c:pt idx="6">
                  <c:v>680000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0-4F07-8E16-9667D329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188704"/>
        <c:axId val="1570190144"/>
      </c:lineChart>
      <c:catAx>
        <c:axId val="15701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90144"/>
        <c:crosses val="autoZero"/>
        <c:auto val="1"/>
        <c:lblAlgn val="ctr"/>
        <c:lblOffset val="100"/>
        <c:noMultiLvlLbl val="0"/>
      </c:catAx>
      <c:valAx>
        <c:axId val="15701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8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'rent vs sales'!$O$2</c:f>
              <c:strCache>
                <c:ptCount val="1"/>
                <c:pt idx="0">
                  <c:v> shop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36-4F93-93FE-B907CFAA6B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36-4F93-93FE-B907CFAA6B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36-4F93-93FE-B907CFAA6B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36-4F93-93FE-B907CFAA6B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36-4F93-93FE-B907CFAA6B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36-4F93-93FE-B907CFAA6B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36-4F93-93FE-B907CFAA6B72}"/>
              </c:ext>
            </c:extLst>
          </c:dPt>
          <c:cat>
            <c:strRef>
              <c:f>'rent vs sales'!$N$3:$N$9</c:f>
              <c:strCache>
                <c:ptCount val="7"/>
                <c:pt idx="0">
                  <c:v>Azadpur  </c:v>
                </c:pt>
                <c:pt idx="1">
                  <c:v>Indira Nagar</c:v>
                </c:pt>
                <c:pt idx="2">
                  <c:v>Kewal Park </c:v>
                </c:pt>
                <c:pt idx="3">
                  <c:v>Majlis Park </c:v>
                </c:pt>
                <c:pt idx="4">
                  <c:v>Model Town</c:v>
                </c:pt>
                <c:pt idx="5">
                  <c:v>Mukundpur New </c:v>
                </c:pt>
                <c:pt idx="6">
                  <c:v>Aadarsh Nagar </c:v>
                </c:pt>
              </c:strCache>
            </c:strRef>
          </c:cat>
          <c:val>
            <c:numRef>
              <c:f>'rent vs sales'!$O$3:$O$9</c:f>
              <c:numCache>
                <c:formatCode>General</c:formatCode>
                <c:ptCount val="7"/>
                <c:pt idx="0">
                  <c:v>33</c:v>
                </c:pt>
                <c:pt idx="1">
                  <c:v>11</c:v>
                </c:pt>
                <c:pt idx="2">
                  <c:v>2</c:v>
                </c:pt>
                <c:pt idx="3">
                  <c:v>5</c:v>
                </c:pt>
                <c:pt idx="4">
                  <c:v>30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B-4B95-8BE7-A274A42C2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vs sales'!$P$2</c:f>
              <c:strCache>
                <c:ptCount val="1"/>
                <c:pt idx="0">
                  <c:v> flat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'rent vs sales'!$P$3:$P$9</c:f>
              <c:numCache>
                <c:formatCode>General</c:formatCode>
                <c:ptCount val="7"/>
                <c:pt idx="0">
                  <c:v>4</c:v>
                </c:pt>
                <c:pt idx="1">
                  <c:v>36</c:v>
                </c:pt>
                <c:pt idx="2">
                  <c:v>2</c:v>
                </c:pt>
                <c:pt idx="3">
                  <c:v>26</c:v>
                </c:pt>
                <c:pt idx="4">
                  <c:v>11</c:v>
                </c:pt>
                <c:pt idx="5">
                  <c:v>11</c:v>
                </c:pt>
                <c:pt idx="6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'rent vs sales'!#REF!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56-497E-AE6F-F8C775DE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557856"/>
        <c:axId val="1581558336"/>
      </c:barChart>
      <c:catAx>
        <c:axId val="15815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58336"/>
        <c:crosses val="autoZero"/>
        <c:auto val="1"/>
        <c:lblAlgn val="ctr"/>
        <c:lblOffset val="100"/>
        <c:noMultiLvlLbl val="0"/>
      </c:catAx>
      <c:valAx>
        <c:axId val="15815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vs sales'!$O$2</c:f>
              <c:strCache>
                <c:ptCount val="1"/>
                <c:pt idx="0">
                  <c:v> shop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vs sales'!$N$3:$N$9</c:f>
              <c:strCache>
                <c:ptCount val="7"/>
                <c:pt idx="0">
                  <c:v>Azadpur  </c:v>
                </c:pt>
                <c:pt idx="1">
                  <c:v>Indira Nagar</c:v>
                </c:pt>
                <c:pt idx="2">
                  <c:v>Kewal Park </c:v>
                </c:pt>
                <c:pt idx="3">
                  <c:v>Majlis Park </c:v>
                </c:pt>
                <c:pt idx="4">
                  <c:v>Model Town</c:v>
                </c:pt>
                <c:pt idx="5">
                  <c:v>Mukundpur New </c:v>
                </c:pt>
                <c:pt idx="6">
                  <c:v>Aadarsh Nagar </c:v>
                </c:pt>
              </c:strCache>
            </c:strRef>
          </c:cat>
          <c:val>
            <c:numRef>
              <c:f>'rent vs sales'!$O$3:$O$9</c:f>
              <c:numCache>
                <c:formatCode>General</c:formatCode>
                <c:ptCount val="7"/>
                <c:pt idx="0">
                  <c:v>33</c:v>
                </c:pt>
                <c:pt idx="1">
                  <c:v>11</c:v>
                </c:pt>
                <c:pt idx="2">
                  <c:v>2</c:v>
                </c:pt>
                <c:pt idx="3">
                  <c:v>5</c:v>
                </c:pt>
                <c:pt idx="4">
                  <c:v>30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F-4CA6-B8A9-8FF16DE5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728544"/>
        <c:axId val="1875730464"/>
      </c:barChart>
      <c:catAx>
        <c:axId val="187572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730464"/>
        <c:crosses val="autoZero"/>
        <c:auto val="1"/>
        <c:lblAlgn val="ctr"/>
        <c:lblOffset val="100"/>
        <c:noMultiLvlLbl val="0"/>
      </c:catAx>
      <c:valAx>
        <c:axId val="187573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72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vs sales'!$Q$2</c:f>
              <c:strCache>
                <c:ptCount val="1"/>
                <c:pt idx="0">
                  <c:v> plot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'rent vs sales'!$Q$3:$Q$9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'rent vs sales'!#REF!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366-432F-92C2-1C7FDD8D4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174672"/>
        <c:axId val="1810177072"/>
      </c:barChart>
      <c:catAx>
        <c:axId val="181017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77072"/>
        <c:crosses val="autoZero"/>
        <c:auto val="1"/>
        <c:lblAlgn val="ctr"/>
        <c:lblOffset val="100"/>
        <c:noMultiLvlLbl val="0"/>
      </c:catAx>
      <c:valAx>
        <c:axId val="18101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7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Typ</a:t>
            </a:r>
            <a:r>
              <a:rPr lang="en-IN" baseline="0"/>
              <a:t>e wise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'rent vs sales'!$T$1</c:f>
              <c:strCache>
                <c:ptCount val="1"/>
                <c:pt idx="0">
                  <c:v> shop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vs sales'!$S$2:$S$8</c:f>
              <c:strCache>
                <c:ptCount val="7"/>
                <c:pt idx="0">
                  <c:v>Azadpur  </c:v>
                </c:pt>
                <c:pt idx="1">
                  <c:v>Indira Nagar</c:v>
                </c:pt>
                <c:pt idx="2">
                  <c:v>Kewal Park </c:v>
                </c:pt>
                <c:pt idx="3">
                  <c:v>Majlis Park </c:v>
                </c:pt>
                <c:pt idx="4">
                  <c:v>Model Town</c:v>
                </c:pt>
                <c:pt idx="5">
                  <c:v>Mukundpur New </c:v>
                </c:pt>
                <c:pt idx="6">
                  <c:v>Aadarsh Nagar </c:v>
                </c:pt>
              </c:strCache>
            </c:strRef>
          </c:cat>
          <c:val>
            <c:numRef>
              <c:f>'rent vs sales'!$T$2:$T$8</c:f>
              <c:numCache>
                <c:formatCode>General</c:formatCode>
                <c:ptCount val="7"/>
                <c:pt idx="0">
                  <c:v>33</c:v>
                </c:pt>
                <c:pt idx="1">
                  <c:v>11</c:v>
                </c:pt>
                <c:pt idx="2">
                  <c:v>2</c:v>
                </c:pt>
                <c:pt idx="3">
                  <c:v>5</c:v>
                </c:pt>
                <c:pt idx="4">
                  <c:v>30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B-4174-9F34-7F481BD341F5}"/>
            </c:ext>
          </c:extLst>
        </c:ser>
        <c:ser>
          <c:idx val="1"/>
          <c:order val="1"/>
          <c:tx>
            <c:strRef>
              <c:f>'rent vs sales'!$U$1</c:f>
              <c:strCache>
                <c:ptCount val="1"/>
                <c:pt idx="0">
                  <c:v> flat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'rent vs sales'!$S$2:$S$8</c:f>
              <c:strCache>
                <c:ptCount val="7"/>
                <c:pt idx="0">
                  <c:v>Azadpur  </c:v>
                </c:pt>
                <c:pt idx="1">
                  <c:v>Indira Nagar</c:v>
                </c:pt>
                <c:pt idx="2">
                  <c:v>Kewal Park </c:v>
                </c:pt>
                <c:pt idx="3">
                  <c:v>Majlis Park </c:v>
                </c:pt>
                <c:pt idx="4">
                  <c:v>Model Town</c:v>
                </c:pt>
                <c:pt idx="5">
                  <c:v>Mukundpur New </c:v>
                </c:pt>
                <c:pt idx="6">
                  <c:v>Aadarsh Nagar </c:v>
                </c:pt>
              </c:strCache>
            </c:strRef>
          </c:cat>
          <c:val>
            <c:numRef>
              <c:f>'rent vs sales'!$U$2:$U$8</c:f>
              <c:numCache>
                <c:formatCode>General</c:formatCode>
                <c:ptCount val="7"/>
                <c:pt idx="0">
                  <c:v>4</c:v>
                </c:pt>
                <c:pt idx="1">
                  <c:v>36</c:v>
                </c:pt>
                <c:pt idx="2">
                  <c:v>2</c:v>
                </c:pt>
                <c:pt idx="3">
                  <c:v>26</c:v>
                </c:pt>
                <c:pt idx="4">
                  <c:v>11</c:v>
                </c:pt>
                <c:pt idx="5">
                  <c:v>11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B-4174-9F34-7F481BD341F5}"/>
            </c:ext>
          </c:extLst>
        </c:ser>
        <c:ser>
          <c:idx val="2"/>
          <c:order val="2"/>
          <c:tx>
            <c:strRef>
              <c:f>'rent vs sales'!$V$1</c:f>
              <c:strCache>
                <c:ptCount val="1"/>
                <c:pt idx="0">
                  <c:v> plot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'rent vs sales'!$S$2:$S$8</c:f>
              <c:strCache>
                <c:ptCount val="7"/>
                <c:pt idx="0">
                  <c:v>Azadpur  </c:v>
                </c:pt>
                <c:pt idx="1">
                  <c:v>Indira Nagar</c:v>
                </c:pt>
                <c:pt idx="2">
                  <c:v>Kewal Park </c:v>
                </c:pt>
                <c:pt idx="3">
                  <c:v>Majlis Park </c:v>
                </c:pt>
                <c:pt idx="4">
                  <c:v>Model Town</c:v>
                </c:pt>
                <c:pt idx="5">
                  <c:v>Mukundpur New </c:v>
                </c:pt>
                <c:pt idx="6">
                  <c:v>Aadarsh Nagar </c:v>
                </c:pt>
              </c:strCache>
            </c:strRef>
          </c:cat>
          <c:val>
            <c:numRef>
              <c:f>'rent vs sales'!$V$2:$V$8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B-4174-9F34-7F481BD3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840464"/>
        <c:axId val="1143840944"/>
      </c:barChart>
      <c:catAx>
        <c:axId val="114384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40944"/>
        <c:crosses val="autoZero"/>
        <c:auto val="1"/>
        <c:lblAlgn val="ctr"/>
        <c:lblOffset val="100"/>
        <c:noMultiLvlLbl val="0"/>
      </c:catAx>
      <c:valAx>
        <c:axId val="114384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4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'corelation graph'!$B$1</c:f>
              <c:strCache>
                <c:ptCount val="1"/>
                <c:pt idx="0">
                  <c:v>Amount of Deal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'corelation graph'!$A$2:$A$220</c:f>
              <c:numCache>
                <c:formatCode>"₹"#,##0.00_);[Red]\("₹"#,##0.00\)</c:formatCode>
                <c:ptCount val="219"/>
                <c:pt idx="0">
                  <c:v>200000</c:v>
                </c:pt>
                <c:pt idx="1">
                  <c:v>70000</c:v>
                </c:pt>
                <c:pt idx="2">
                  <c:v>200000</c:v>
                </c:pt>
                <c:pt idx="3">
                  <c:v>300000</c:v>
                </c:pt>
                <c:pt idx="4">
                  <c:v>15000</c:v>
                </c:pt>
                <c:pt idx="5">
                  <c:v>30000</c:v>
                </c:pt>
                <c:pt idx="6">
                  <c:v>18000</c:v>
                </c:pt>
                <c:pt idx="7">
                  <c:v>40000</c:v>
                </c:pt>
                <c:pt idx="8">
                  <c:v>16000</c:v>
                </c:pt>
                <c:pt idx="9">
                  <c:v>12000</c:v>
                </c:pt>
                <c:pt idx="10">
                  <c:v>35000</c:v>
                </c:pt>
                <c:pt idx="11">
                  <c:v>14000</c:v>
                </c:pt>
                <c:pt idx="12">
                  <c:v>32000</c:v>
                </c:pt>
                <c:pt idx="13">
                  <c:v>20000</c:v>
                </c:pt>
                <c:pt idx="14">
                  <c:v>17000</c:v>
                </c:pt>
                <c:pt idx="15">
                  <c:v>38000</c:v>
                </c:pt>
                <c:pt idx="16">
                  <c:v>15000</c:v>
                </c:pt>
                <c:pt idx="17">
                  <c:v>30000</c:v>
                </c:pt>
                <c:pt idx="18">
                  <c:v>16000</c:v>
                </c:pt>
                <c:pt idx="19">
                  <c:v>20000</c:v>
                </c:pt>
                <c:pt idx="20">
                  <c:v>35000</c:v>
                </c:pt>
                <c:pt idx="21">
                  <c:v>15000</c:v>
                </c:pt>
                <c:pt idx="22">
                  <c:v>32000</c:v>
                </c:pt>
                <c:pt idx="23">
                  <c:v>18000</c:v>
                </c:pt>
                <c:pt idx="24">
                  <c:v>20000</c:v>
                </c:pt>
                <c:pt idx="25">
                  <c:v>40000</c:v>
                </c:pt>
                <c:pt idx="26">
                  <c:v>16000</c:v>
                </c:pt>
                <c:pt idx="27">
                  <c:v>30000</c:v>
                </c:pt>
                <c:pt idx="28">
                  <c:v>20000</c:v>
                </c:pt>
                <c:pt idx="29">
                  <c:v>35000</c:v>
                </c:pt>
                <c:pt idx="30">
                  <c:v>18000</c:v>
                </c:pt>
                <c:pt idx="31">
                  <c:v>15000</c:v>
                </c:pt>
                <c:pt idx="32">
                  <c:v>30000</c:v>
                </c:pt>
                <c:pt idx="33">
                  <c:v>20000</c:v>
                </c:pt>
                <c:pt idx="34">
                  <c:v>18000</c:v>
                </c:pt>
                <c:pt idx="35">
                  <c:v>35000</c:v>
                </c:pt>
                <c:pt idx="36">
                  <c:v>20000</c:v>
                </c:pt>
                <c:pt idx="37">
                  <c:v>30000</c:v>
                </c:pt>
                <c:pt idx="38">
                  <c:v>18000</c:v>
                </c:pt>
                <c:pt idx="39">
                  <c:v>40000</c:v>
                </c:pt>
                <c:pt idx="40">
                  <c:v>16000</c:v>
                </c:pt>
                <c:pt idx="41">
                  <c:v>32000</c:v>
                </c:pt>
                <c:pt idx="42">
                  <c:v>20000</c:v>
                </c:pt>
                <c:pt idx="43">
                  <c:v>35000</c:v>
                </c:pt>
                <c:pt idx="44">
                  <c:v>15000</c:v>
                </c:pt>
                <c:pt idx="45">
                  <c:v>30000</c:v>
                </c:pt>
                <c:pt idx="46">
                  <c:v>16000</c:v>
                </c:pt>
                <c:pt idx="47">
                  <c:v>30000</c:v>
                </c:pt>
                <c:pt idx="48">
                  <c:v>18000</c:v>
                </c:pt>
                <c:pt idx="49">
                  <c:v>35000</c:v>
                </c:pt>
                <c:pt idx="50">
                  <c:v>16000</c:v>
                </c:pt>
                <c:pt idx="51">
                  <c:v>30000</c:v>
                </c:pt>
                <c:pt idx="52">
                  <c:v>18000</c:v>
                </c:pt>
                <c:pt idx="53">
                  <c:v>600000</c:v>
                </c:pt>
                <c:pt idx="54">
                  <c:v>60000</c:v>
                </c:pt>
                <c:pt idx="55">
                  <c:v>200000</c:v>
                </c:pt>
                <c:pt idx="56">
                  <c:v>100000</c:v>
                </c:pt>
                <c:pt idx="57">
                  <c:v>250000</c:v>
                </c:pt>
                <c:pt idx="58">
                  <c:v>15000</c:v>
                </c:pt>
                <c:pt idx="59">
                  <c:v>30000</c:v>
                </c:pt>
                <c:pt idx="60">
                  <c:v>18000</c:v>
                </c:pt>
                <c:pt idx="61">
                  <c:v>40000</c:v>
                </c:pt>
                <c:pt idx="62">
                  <c:v>16000</c:v>
                </c:pt>
                <c:pt idx="63">
                  <c:v>12000</c:v>
                </c:pt>
                <c:pt idx="64">
                  <c:v>35000</c:v>
                </c:pt>
                <c:pt idx="65">
                  <c:v>14000</c:v>
                </c:pt>
                <c:pt idx="66">
                  <c:v>32000</c:v>
                </c:pt>
                <c:pt idx="67">
                  <c:v>20000</c:v>
                </c:pt>
                <c:pt idx="68">
                  <c:v>17000</c:v>
                </c:pt>
                <c:pt idx="69">
                  <c:v>38000</c:v>
                </c:pt>
                <c:pt idx="70">
                  <c:v>15000</c:v>
                </c:pt>
                <c:pt idx="71">
                  <c:v>30000</c:v>
                </c:pt>
                <c:pt idx="72">
                  <c:v>16000</c:v>
                </c:pt>
                <c:pt idx="73">
                  <c:v>20000</c:v>
                </c:pt>
                <c:pt idx="74">
                  <c:v>35000</c:v>
                </c:pt>
                <c:pt idx="75">
                  <c:v>15000</c:v>
                </c:pt>
                <c:pt idx="76">
                  <c:v>32000</c:v>
                </c:pt>
                <c:pt idx="77">
                  <c:v>18000</c:v>
                </c:pt>
                <c:pt idx="78">
                  <c:v>20000</c:v>
                </c:pt>
                <c:pt idx="79">
                  <c:v>40000</c:v>
                </c:pt>
                <c:pt idx="80">
                  <c:v>16000</c:v>
                </c:pt>
                <c:pt idx="81">
                  <c:v>30000</c:v>
                </c:pt>
                <c:pt idx="82">
                  <c:v>20000</c:v>
                </c:pt>
                <c:pt idx="83">
                  <c:v>35000</c:v>
                </c:pt>
                <c:pt idx="84">
                  <c:v>18000</c:v>
                </c:pt>
                <c:pt idx="85">
                  <c:v>15000</c:v>
                </c:pt>
                <c:pt idx="86">
                  <c:v>30000</c:v>
                </c:pt>
                <c:pt idx="87">
                  <c:v>16000</c:v>
                </c:pt>
                <c:pt idx="88">
                  <c:v>20000</c:v>
                </c:pt>
                <c:pt idx="89">
                  <c:v>40000</c:v>
                </c:pt>
                <c:pt idx="90">
                  <c:v>15000</c:v>
                </c:pt>
                <c:pt idx="91">
                  <c:v>32000</c:v>
                </c:pt>
                <c:pt idx="92">
                  <c:v>18000</c:v>
                </c:pt>
                <c:pt idx="93">
                  <c:v>35000</c:v>
                </c:pt>
                <c:pt idx="94">
                  <c:v>16000</c:v>
                </c:pt>
                <c:pt idx="95">
                  <c:v>15000</c:v>
                </c:pt>
                <c:pt idx="96">
                  <c:v>30000</c:v>
                </c:pt>
                <c:pt idx="97">
                  <c:v>20000</c:v>
                </c:pt>
                <c:pt idx="98">
                  <c:v>16000</c:v>
                </c:pt>
                <c:pt idx="99">
                  <c:v>35000</c:v>
                </c:pt>
                <c:pt idx="100">
                  <c:v>15000</c:v>
                </c:pt>
                <c:pt idx="101">
                  <c:v>30000</c:v>
                </c:pt>
                <c:pt idx="102">
                  <c:v>18000</c:v>
                </c:pt>
                <c:pt idx="103">
                  <c:v>40000</c:v>
                </c:pt>
                <c:pt idx="104">
                  <c:v>17000</c:v>
                </c:pt>
                <c:pt idx="105">
                  <c:v>15000</c:v>
                </c:pt>
                <c:pt idx="106">
                  <c:v>35000</c:v>
                </c:pt>
                <c:pt idx="107">
                  <c:v>20000</c:v>
                </c:pt>
                <c:pt idx="108">
                  <c:v>38000</c:v>
                </c:pt>
                <c:pt idx="109">
                  <c:v>16000</c:v>
                </c:pt>
                <c:pt idx="110">
                  <c:v>300000</c:v>
                </c:pt>
                <c:pt idx="111">
                  <c:v>70000</c:v>
                </c:pt>
                <c:pt idx="112">
                  <c:v>600000</c:v>
                </c:pt>
                <c:pt idx="113">
                  <c:v>500000</c:v>
                </c:pt>
                <c:pt idx="114">
                  <c:v>60000</c:v>
                </c:pt>
                <c:pt idx="115">
                  <c:v>15000</c:v>
                </c:pt>
                <c:pt idx="116">
                  <c:v>30000</c:v>
                </c:pt>
                <c:pt idx="117">
                  <c:v>18000</c:v>
                </c:pt>
                <c:pt idx="118">
                  <c:v>20000</c:v>
                </c:pt>
                <c:pt idx="119">
                  <c:v>35000</c:v>
                </c:pt>
                <c:pt idx="120">
                  <c:v>15000</c:v>
                </c:pt>
                <c:pt idx="121">
                  <c:v>32000</c:v>
                </c:pt>
                <c:pt idx="122">
                  <c:v>19000</c:v>
                </c:pt>
                <c:pt idx="123">
                  <c:v>17000</c:v>
                </c:pt>
                <c:pt idx="124">
                  <c:v>40000</c:v>
                </c:pt>
                <c:pt idx="125">
                  <c:v>15000</c:v>
                </c:pt>
                <c:pt idx="126">
                  <c:v>30000</c:v>
                </c:pt>
                <c:pt idx="127">
                  <c:v>16000</c:v>
                </c:pt>
                <c:pt idx="128">
                  <c:v>18000</c:v>
                </c:pt>
                <c:pt idx="129">
                  <c:v>32000</c:v>
                </c:pt>
                <c:pt idx="130">
                  <c:v>15000</c:v>
                </c:pt>
                <c:pt idx="131">
                  <c:v>30000</c:v>
                </c:pt>
                <c:pt idx="132">
                  <c:v>19000</c:v>
                </c:pt>
                <c:pt idx="133">
                  <c:v>17000</c:v>
                </c:pt>
                <c:pt idx="134">
                  <c:v>40000</c:v>
                </c:pt>
                <c:pt idx="135">
                  <c:v>15000</c:v>
                </c:pt>
                <c:pt idx="136">
                  <c:v>30000</c:v>
                </c:pt>
                <c:pt idx="137">
                  <c:v>16000</c:v>
                </c:pt>
                <c:pt idx="138">
                  <c:v>18000</c:v>
                </c:pt>
                <c:pt idx="139">
                  <c:v>35000</c:v>
                </c:pt>
                <c:pt idx="140">
                  <c:v>15000</c:v>
                </c:pt>
                <c:pt idx="141">
                  <c:v>32000</c:v>
                </c:pt>
                <c:pt idx="142">
                  <c:v>19000</c:v>
                </c:pt>
                <c:pt idx="143">
                  <c:v>17000</c:v>
                </c:pt>
                <c:pt idx="144">
                  <c:v>40000</c:v>
                </c:pt>
                <c:pt idx="145">
                  <c:v>15000</c:v>
                </c:pt>
                <c:pt idx="146">
                  <c:v>30000</c:v>
                </c:pt>
                <c:pt idx="147">
                  <c:v>16000</c:v>
                </c:pt>
                <c:pt idx="148">
                  <c:v>18000</c:v>
                </c:pt>
                <c:pt idx="149">
                  <c:v>32000</c:v>
                </c:pt>
                <c:pt idx="150">
                  <c:v>15000</c:v>
                </c:pt>
                <c:pt idx="151">
                  <c:v>30000</c:v>
                </c:pt>
                <c:pt idx="152">
                  <c:v>19000</c:v>
                </c:pt>
                <c:pt idx="153">
                  <c:v>17000</c:v>
                </c:pt>
                <c:pt idx="154">
                  <c:v>40000</c:v>
                </c:pt>
                <c:pt idx="155">
                  <c:v>15000</c:v>
                </c:pt>
                <c:pt idx="156">
                  <c:v>30000</c:v>
                </c:pt>
                <c:pt idx="157">
                  <c:v>16000</c:v>
                </c:pt>
                <c:pt idx="158">
                  <c:v>18000</c:v>
                </c:pt>
                <c:pt idx="159">
                  <c:v>32000</c:v>
                </c:pt>
                <c:pt idx="160">
                  <c:v>15000</c:v>
                </c:pt>
                <c:pt idx="161">
                  <c:v>30000</c:v>
                </c:pt>
                <c:pt idx="162">
                  <c:v>19000</c:v>
                </c:pt>
                <c:pt idx="163">
                  <c:v>17000</c:v>
                </c:pt>
                <c:pt idx="164">
                  <c:v>40000</c:v>
                </c:pt>
                <c:pt idx="165">
                  <c:v>70000</c:v>
                </c:pt>
                <c:pt idx="166">
                  <c:v>300000</c:v>
                </c:pt>
                <c:pt idx="167">
                  <c:v>250000</c:v>
                </c:pt>
                <c:pt idx="168">
                  <c:v>80000</c:v>
                </c:pt>
                <c:pt idx="169">
                  <c:v>15000</c:v>
                </c:pt>
                <c:pt idx="170">
                  <c:v>30000</c:v>
                </c:pt>
                <c:pt idx="171">
                  <c:v>18000</c:v>
                </c:pt>
                <c:pt idx="172">
                  <c:v>20000</c:v>
                </c:pt>
                <c:pt idx="173">
                  <c:v>35000</c:v>
                </c:pt>
                <c:pt idx="174">
                  <c:v>15000</c:v>
                </c:pt>
                <c:pt idx="175">
                  <c:v>32000</c:v>
                </c:pt>
                <c:pt idx="176">
                  <c:v>19000</c:v>
                </c:pt>
                <c:pt idx="177">
                  <c:v>17000</c:v>
                </c:pt>
                <c:pt idx="178">
                  <c:v>40000</c:v>
                </c:pt>
                <c:pt idx="179">
                  <c:v>15000</c:v>
                </c:pt>
                <c:pt idx="180">
                  <c:v>30000</c:v>
                </c:pt>
                <c:pt idx="181">
                  <c:v>16000</c:v>
                </c:pt>
                <c:pt idx="182">
                  <c:v>18000</c:v>
                </c:pt>
                <c:pt idx="183">
                  <c:v>32000</c:v>
                </c:pt>
                <c:pt idx="184">
                  <c:v>15000</c:v>
                </c:pt>
                <c:pt idx="185">
                  <c:v>30000</c:v>
                </c:pt>
                <c:pt idx="186">
                  <c:v>19000</c:v>
                </c:pt>
                <c:pt idx="187">
                  <c:v>17000</c:v>
                </c:pt>
                <c:pt idx="188">
                  <c:v>40000</c:v>
                </c:pt>
                <c:pt idx="189">
                  <c:v>15000</c:v>
                </c:pt>
                <c:pt idx="190">
                  <c:v>30000</c:v>
                </c:pt>
                <c:pt idx="191">
                  <c:v>16000</c:v>
                </c:pt>
                <c:pt idx="192">
                  <c:v>18000</c:v>
                </c:pt>
                <c:pt idx="193">
                  <c:v>35000</c:v>
                </c:pt>
                <c:pt idx="194">
                  <c:v>15000</c:v>
                </c:pt>
                <c:pt idx="195">
                  <c:v>30000</c:v>
                </c:pt>
                <c:pt idx="196">
                  <c:v>19000</c:v>
                </c:pt>
                <c:pt idx="197">
                  <c:v>17000</c:v>
                </c:pt>
                <c:pt idx="198">
                  <c:v>40000</c:v>
                </c:pt>
                <c:pt idx="199">
                  <c:v>15000</c:v>
                </c:pt>
                <c:pt idx="200">
                  <c:v>30000</c:v>
                </c:pt>
                <c:pt idx="201">
                  <c:v>16000</c:v>
                </c:pt>
                <c:pt idx="202">
                  <c:v>18000</c:v>
                </c:pt>
                <c:pt idx="203">
                  <c:v>32000</c:v>
                </c:pt>
                <c:pt idx="204">
                  <c:v>15000</c:v>
                </c:pt>
                <c:pt idx="205">
                  <c:v>30000</c:v>
                </c:pt>
                <c:pt idx="206">
                  <c:v>19000</c:v>
                </c:pt>
                <c:pt idx="207">
                  <c:v>17000</c:v>
                </c:pt>
                <c:pt idx="208">
                  <c:v>40000</c:v>
                </c:pt>
                <c:pt idx="209">
                  <c:v>15000</c:v>
                </c:pt>
                <c:pt idx="210">
                  <c:v>30000</c:v>
                </c:pt>
                <c:pt idx="211">
                  <c:v>16000</c:v>
                </c:pt>
                <c:pt idx="212">
                  <c:v>18000</c:v>
                </c:pt>
                <c:pt idx="213">
                  <c:v>32000</c:v>
                </c:pt>
              </c:numCache>
            </c:numRef>
          </c:xVal>
          <c:yVal>
            <c:numRef>
              <c:f>'corelation graph'!$B$2:$B$220</c:f>
              <c:numCache>
                <c:formatCode>"₹"#,##0.00_);[Red]\("₹"#,##0.00\)</c:formatCode>
                <c:ptCount val="219"/>
                <c:pt idx="0">
                  <c:v>10000000</c:v>
                </c:pt>
                <c:pt idx="1">
                  <c:v>3500000</c:v>
                </c:pt>
                <c:pt idx="2">
                  <c:v>20000000</c:v>
                </c:pt>
                <c:pt idx="3">
                  <c:v>15000000</c:v>
                </c:pt>
                <c:pt idx="4">
                  <c:v>15000</c:v>
                </c:pt>
                <c:pt idx="5">
                  <c:v>30000</c:v>
                </c:pt>
                <c:pt idx="6">
                  <c:v>18000</c:v>
                </c:pt>
                <c:pt idx="7">
                  <c:v>40000</c:v>
                </c:pt>
                <c:pt idx="8">
                  <c:v>16000</c:v>
                </c:pt>
                <c:pt idx="9">
                  <c:v>12000</c:v>
                </c:pt>
                <c:pt idx="10">
                  <c:v>35000</c:v>
                </c:pt>
                <c:pt idx="11">
                  <c:v>14000</c:v>
                </c:pt>
                <c:pt idx="12">
                  <c:v>32000</c:v>
                </c:pt>
                <c:pt idx="13">
                  <c:v>20000</c:v>
                </c:pt>
                <c:pt idx="14">
                  <c:v>17000</c:v>
                </c:pt>
                <c:pt idx="15">
                  <c:v>38000</c:v>
                </c:pt>
                <c:pt idx="16">
                  <c:v>15000</c:v>
                </c:pt>
                <c:pt idx="17">
                  <c:v>30000</c:v>
                </c:pt>
                <c:pt idx="18">
                  <c:v>16000</c:v>
                </c:pt>
                <c:pt idx="19">
                  <c:v>20000</c:v>
                </c:pt>
                <c:pt idx="20">
                  <c:v>35000</c:v>
                </c:pt>
                <c:pt idx="21">
                  <c:v>15000</c:v>
                </c:pt>
                <c:pt idx="22">
                  <c:v>32000</c:v>
                </c:pt>
                <c:pt idx="23">
                  <c:v>18000</c:v>
                </c:pt>
                <c:pt idx="24">
                  <c:v>20000</c:v>
                </c:pt>
                <c:pt idx="25">
                  <c:v>40000</c:v>
                </c:pt>
                <c:pt idx="26">
                  <c:v>16000</c:v>
                </c:pt>
                <c:pt idx="27">
                  <c:v>30000</c:v>
                </c:pt>
                <c:pt idx="28">
                  <c:v>20000</c:v>
                </c:pt>
                <c:pt idx="29">
                  <c:v>35000</c:v>
                </c:pt>
                <c:pt idx="30">
                  <c:v>18000</c:v>
                </c:pt>
                <c:pt idx="31">
                  <c:v>15000</c:v>
                </c:pt>
                <c:pt idx="32">
                  <c:v>30000</c:v>
                </c:pt>
                <c:pt idx="33">
                  <c:v>20000</c:v>
                </c:pt>
                <c:pt idx="34">
                  <c:v>18000</c:v>
                </c:pt>
                <c:pt idx="35">
                  <c:v>35000</c:v>
                </c:pt>
                <c:pt idx="36">
                  <c:v>20000</c:v>
                </c:pt>
                <c:pt idx="37">
                  <c:v>30000</c:v>
                </c:pt>
                <c:pt idx="38">
                  <c:v>18000</c:v>
                </c:pt>
                <c:pt idx="39">
                  <c:v>40000</c:v>
                </c:pt>
                <c:pt idx="40">
                  <c:v>16000</c:v>
                </c:pt>
                <c:pt idx="41">
                  <c:v>32000</c:v>
                </c:pt>
                <c:pt idx="42">
                  <c:v>20000</c:v>
                </c:pt>
                <c:pt idx="43">
                  <c:v>35000</c:v>
                </c:pt>
                <c:pt idx="44">
                  <c:v>15000</c:v>
                </c:pt>
                <c:pt idx="45">
                  <c:v>30000</c:v>
                </c:pt>
                <c:pt idx="46">
                  <c:v>16000</c:v>
                </c:pt>
                <c:pt idx="47">
                  <c:v>30000</c:v>
                </c:pt>
                <c:pt idx="48">
                  <c:v>18000</c:v>
                </c:pt>
                <c:pt idx="49">
                  <c:v>35000</c:v>
                </c:pt>
                <c:pt idx="50">
                  <c:v>16000</c:v>
                </c:pt>
                <c:pt idx="51">
                  <c:v>30000</c:v>
                </c:pt>
                <c:pt idx="52">
                  <c:v>18000</c:v>
                </c:pt>
                <c:pt idx="53">
                  <c:v>30000000</c:v>
                </c:pt>
                <c:pt idx="54">
                  <c:v>3000000</c:v>
                </c:pt>
                <c:pt idx="55">
                  <c:v>10000000</c:v>
                </c:pt>
                <c:pt idx="56">
                  <c:v>5000000</c:v>
                </c:pt>
                <c:pt idx="57">
                  <c:v>25000000</c:v>
                </c:pt>
                <c:pt idx="58">
                  <c:v>15000</c:v>
                </c:pt>
                <c:pt idx="59">
                  <c:v>30000</c:v>
                </c:pt>
                <c:pt idx="60">
                  <c:v>18000</c:v>
                </c:pt>
                <c:pt idx="61">
                  <c:v>40000</c:v>
                </c:pt>
                <c:pt idx="62">
                  <c:v>16000</c:v>
                </c:pt>
                <c:pt idx="63">
                  <c:v>12000</c:v>
                </c:pt>
                <c:pt idx="64">
                  <c:v>35000</c:v>
                </c:pt>
                <c:pt idx="65">
                  <c:v>14000</c:v>
                </c:pt>
                <c:pt idx="66">
                  <c:v>32000</c:v>
                </c:pt>
                <c:pt idx="67">
                  <c:v>20000</c:v>
                </c:pt>
                <c:pt idx="68">
                  <c:v>17000</c:v>
                </c:pt>
                <c:pt idx="69">
                  <c:v>38000</c:v>
                </c:pt>
                <c:pt idx="70">
                  <c:v>15000</c:v>
                </c:pt>
                <c:pt idx="71">
                  <c:v>30000</c:v>
                </c:pt>
                <c:pt idx="72">
                  <c:v>16000</c:v>
                </c:pt>
                <c:pt idx="73">
                  <c:v>20000</c:v>
                </c:pt>
                <c:pt idx="74">
                  <c:v>35000</c:v>
                </c:pt>
                <c:pt idx="75">
                  <c:v>15000</c:v>
                </c:pt>
                <c:pt idx="76">
                  <c:v>32000</c:v>
                </c:pt>
                <c:pt idx="77">
                  <c:v>18000</c:v>
                </c:pt>
                <c:pt idx="78">
                  <c:v>20000</c:v>
                </c:pt>
                <c:pt idx="79">
                  <c:v>40000</c:v>
                </c:pt>
                <c:pt idx="80">
                  <c:v>16000</c:v>
                </c:pt>
                <c:pt idx="81">
                  <c:v>30000</c:v>
                </c:pt>
                <c:pt idx="82">
                  <c:v>20000</c:v>
                </c:pt>
                <c:pt idx="83">
                  <c:v>35000</c:v>
                </c:pt>
                <c:pt idx="84">
                  <c:v>18000</c:v>
                </c:pt>
                <c:pt idx="85">
                  <c:v>15000</c:v>
                </c:pt>
                <c:pt idx="86">
                  <c:v>30000</c:v>
                </c:pt>
                <c:pt idx="87">
                  <c:v>16000</c:v>
                </c:pt>
                <c:pt idx="88">
                  <c:v>20000</c:v>
                </c:pt>
                <c:pt idx="89">
                  <c:v>40000</c:v>
                </c:pt>
                <c:pt idx="90">
                  <c:v>15000</c:v>
                </c:pt>
                <c:pt idx="91">
                  <c:v>32000</c:v>
                </c:pt>
                <c:pt idx="92">
                  <c:v>18000</c:v>
                </c:pt>
                <c:pt idx="93">
                  <c:v>35000</c:v>
                </c:pt>
                <c:pt idx="94">
                  <c:v>16000</c:v>
                </c:pt>
                <c:pt idx="95">
                  <c:v>15000</c:v>
                </c:pt>
                <c:pt idx="96">
                  <c:v>30000</c:v>
                </c:pt>
                <c:pt idx="97">
                  <c:v>20000</c:v>
                </c:pt>
                <c:pt idx="98">
                  <c:v>16000</c:v>
                </c:pt>
                <c:pt idx="99">
                  <c:v>35000</c:v>
                </c:pt>
                <c:pt idx="100">
                  <c:v>15000</c:v>
                </c:pt>
                <c:pt idx="101">
                  <c:v>30000</c:v>
                </c:pt>
                <c:pt idx="102">
                  <c:v>18000</c:v>
                </c:pt>
                <c:pt idx="103">
                  <c:v>40000</c:v>
                </c:pt>
                <c:pt idx="104">
                  <c:v>17000</c:v>
                </c:pt>
                <c:pt idx="105">
                  <c:v>15000</c:v>
                </c:pt>
                <c:pt idx="106">
                  <c:v>35000</c:v>
                </c:pt>
                <c:pt idx="107">
                  <c:v>20000</c:v>
                </c:pt>
                <c:pt idx="108">
                  <c:v>38000</c:v>
                </c:pt>
                <c:pt idx="109">
                  <c:v>16000</c:v>
                </c:pt>
                <c:pt idx="110">
                  <c:v>15000000</c:v>
                </c:pt>
                <c:pt idx="111">
                  <c:v>3500000</c:v>
                </c:pt>
                <c:pt idx="112">
                  <c:v>30000000</c:v>
                </c:pt>
                <c:pt idx="113">
                  <c:v>25000000</c:v>
                </c:pt>
                <c:pt idx="114">
                  <c:v>3000000</c:v>
                </c:pt>
                <c:pt idx="115">
                  <c:v>15000</c:v>
                </c:pt>
                <c:pt idx="116">
                  <c:v>30000</c:v>
                </c:pt>
                <c:pt idx="117">
                  <c:v>18000</c:v>
                </c:pt>
                <c:pt idx="118">
                  <c:v>20000</c:v>
                </c:pt>
                <c:pt idx="119">
                  <c:v>35000</c:v>
                </c:pt>
                <c:pt idx="120">
                  <c:v>15000</c:v>
                </c:pt>
                <c:pt idx="121">
                  <c:v>32000</c:v>
                </c:pt>
                <c:pt idx="122">
                  <c:v>19000</c:v>
                </c:pt>
                <c:pt idx="123">
                  <c:v>17000</c:v>
                </c:pt>
                <c:pt idx="124">
                  <c:v>40000</c:v>
                </c:pt>
                <c:pt idx="125">
                  <c:v>15000</c:v>
                </c:pt>
                <c:pt idx="126">
                  <c:v>30000</c:v>
                </c:pt>
                <c:pt idx="127">
                  <c:v>16000</c:v>
                </c:pt>
                <c:pt idx="128">
                  <c:v>18000</c:v>
                </c:pt>
                <c:pt idx="129">
                  <c:v>32000</c:v>
                </c:pt>
                <c:pt idx="130">
                  <c:v>15000</c:v>
                </c:pt>
                <c:pt idx="131">
                  <c:v>30000</c:v>
                </c:pt>
                <c:pt idx="132">
                  <c:v>19000</c:v>
                </c:pt>
                <c:pt idx="133">
                  <c:v>17000</c:v>
                </c:pt>
                <c:pt idx="134">
                  <c:v>40000</c:v>
                </c:pt>
                <c:pt idx="135">
                  <c:v>15000</c:v>
                </c:pt>
                <c:pt idx="136">
                  <c:v>30000</c:v>
                </c:pt>
                <c:pt idx="137">
                  <c:v>16000</c:v>
                </c:pt>
                <c:pt idx="138">
                  <c:v>18000</c:v>
                </c:pt>
                <c:pt idx="139">
                  <c:v>35000</c:v>
                </c:pt>
                <c:pt idx="140">
                  <c:v>15000</c:v>
                </c:pt>
                <c:pt idx="141">
                  <c:v>32000</c:v>
                </c:pt>
                <c:pt idx="142">
                  <c:v>19000</c:v>
                </c:pt>
                <c:pt idx="143">
                  <c:v>17000</c:v>
                </c:pt>
                <c:pt idx="144">
                  <c:v>40000</c:v>
                </c:pt>
                <c:pt idx="145">
                  <c:v>15000</c:v>
                </c:pt>
                <c:pt idx="146">
                  <c:v>30000</c:v>
                </c:pt>
                <c:pt idx="147">
                  <c:v>16000</c:v>
                </c:pt>
                <c:pt idx="148">
                  <c:v>18000</c:v>
                </c:pt>
                <c:pt idx="149">
                  <c:v>32000</c:v>
                </c:pt>
                <c:pt idx="150">
                  <c:v>15000</c:v>
                </c:pt>
                <c:pt idx="151">
                  <c:v>30000</c:v>
                </c:pt>
                <c:pt idx="152">
                  <c:v>19000</c:v>
                </c:pt>
                <c:pt idx="153">
                  <c:v>17000</c:v>
                </c:pt>
                <c:pt idx="154">
                  <c:v>40000</c:v>
                </c:pt>
                <c:pt idx="155">
                  <c:v>15000</c:v>
                </c:pt>
                <c:pt idx="156">
                  <c:v>30000</c:v>
                </c:pt>
                <c:pt idx="157">
                  <c:v>16000</c:v>
                </c:pt>
                <c:pt idx="158">
                  <c:v>18000</c:v>
                </c:pt>
                <c:pt idx="159">
                  <c:v>32000</c:v>
                </c:pt>
                <c:pt idx="160">
                  <c:v>15000</c:v>
                </c:pt>
                <c:pt idx="161">
                  <c:v>30000</c:v>
                </c:pt>
                <c:pt idx="162">
                  <c:v>19000</c:v>
                </c:pt>
                <c:pt idx="163">
                  <c:v>17000</c:v>
                </c:pt>
                <c:pt idx="164">
                  <c:v>40000</c:v>
                </c:pt>
                <c:pt idx="165">
                  <c:v>3500000</c:v>
                </c:pt>
                <c:pt idx="166">
                  <c:v>15000000</c:v>
                </c:pt>
                <c:pt idx="167">
                  <c:v>25000000</c:v>
                </c:pt>
                <c:pt idx="168">
                  <c:v>4000000</c:v>
                </c:pt>
                <c:pt idx="169">
                  <c:v>15000</c:v>
                </c:pt>
                <c:pt idx="170">
                  <c:v>30000</c:v>
                </c:pt>
                <c:pt idx="171">
                  <c:v>18000</c:v>
                </c:pt>
                <c:pt idx="172">
                  <c:v>20000</c:v>
                </c:pt>
                <c:pt idx="173">
                  <c:v>35000</c:v>
                </c:pt>
                <c:pt idx="174">
                  <c:v>15000</c:v>
                </c:pt>
                <c:pt idx="175">
                  <c:v>32000</c:v>
                </c:pt>
                <c:pt idx="176">
                  <c:v>19000</c:v>
                </c:pt>
                <c:pt idx="177">
                  <c:v>17000</c:v>
                </c:pt>
                <c:pt idx="178">
                  <c:v>40000</c:v>
                </c:pt>
                <c:pt idx="179">
                  <c:v>15000</c:v>
                </c:pt>
                <c:pt idx="180">
                  <c:v>30000</c:v>
                </c:pt>
                <c:pt idx="181">
                  <c:v>16000</c:v>
                </c:pt>
                <c:pt idx="182">
                  <c:v>18000</c:v>
                </c:pt>
                <c:pt idx="183">
                  <c:v>32000</c:v>
                </c:pt>
                <c:pt idx="184">
                  <c:v>15000</c:v>
                </c:pt>
                <c:pt idx="185">
                  <c:v>30000</c:v>
                </c:pt>
                <c:pt idx="186">
                  <c:v>19000</c:v>
                </c:pt>
                <c:pt idx="187">
                  <c:v>17000</c:v>
                </c:pt>
                <c:pt idx="188">
                  <c:v>40000</c:v>
                </c:pt>
                <c:pt idx="189">
                  <c:v>15000</c:v>
                </c:pt>
                <c:pt idx="190">
                  <c:v>30000</c:v>
                </c:pt>
                <c:pt idx="191">
                  <c:v>16000</c:v>
                </c:pt>
                <c:pt idx="192">
                  <c:v>18000</c:v>
                </c:pt>
                <c:pt idx="193">
                  <c:v>35000</c:v>
                </c:pt>
                <c:pt idx="194">
                  <c:v>15000</c:v>
                </c:pt>
                <c:pt idx="195">
                  <c:v>30000</c:v>
                </c:pt>
                <c:pt idx="196">
                  <c:v>19000</c:v>
                </c:pt>
                <c:pt idx="197">
                  <c:v>17000</c:v>
                </c:pt>
                <c:pt idx="198">
                  <c:v>40000</c:v>
                </c:pt>
                <c:pt idx="199">
                  <c:v>15000</c:v>
                </c:pt>
                <c:pt idx="200">
                  <c:v>30000</c:v>
                </c:pt>
                <c:pt idx="201">
                  <c:v>16000</c:v>
                </c:pt>
                <c:pt idx="202">
                  <c:v>18000</c:v>
                </c:pt>
                <c:pt idx="203">
                  <c:v>32000</c:v>
                </c:pt>
                <c:pt idx="204">
                  <c:v>15000</c:v>
                </c:pt>
                <c:pt idx="205">
                  <c:v>30000</c:v>
                </c:pt>
                <c:pt idx="206">
                  <c:v>19000</c:v>
                </c:pt>
                <c:pt idx="207">
                  <c:v>17000</c:v>
                </c:pt>
                <c:pt idx="208">
                  <c:v>40000</c:v>
                </c:pt>
                <c:pt idx="209">
                  <c:v>15000</c:v>
                </c:pt>
                <c:pt idx="210">
                  <c:v>30000</c:v>
                </c:pt>
                <c:pt idx="211">
                  <c:v>16000</c:v>
                </c:pt>
                <c:pt idx="212">
                  <c:v>18000</c:v>
                </c:pt>
                <c:pt idx="213">
                  <c:v>32000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2-4588-9D1A-6189629A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746496"/>
        <c:axId val="391745536"/>
      </c:scatterChart>
      <c:valAx>
        <c:axId val="39174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commission earned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45536"/>
        <c:crosses val="autoZero"/>
        <c:crossBetween val="midCat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917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  <a:r>
                  <a:rPr lang="en-IN" baseline="0"/>
                  <a:t> of deal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46496"/>
        <c:crossesAt val="0"/>
        <c:crossBetween val="midCat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Property Type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1"/>
          <c:tx>
            <c:strRef>
              <c:f>'Frequency distribution '!$C$1</c:f>
              <c:strCache>
                <c:ptCount val="1"/>
                <c:pt idx="0">
                  <c:v>Relative Frequency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1D5-4350-A22F-8BFAAE8257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41D5-4350-A22F-8BFAAE8257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41D5-4350-A22F-8BFAAE825739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D5-4350-A22F-8BFAAE825739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D5-4350-A22F-8BFAAE825739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D5-4350-A22F-8BFAAE8257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'Frequency distribution '!$A$2:$A$4</c:f>
              <c:strCache>
                <c:ptCount val="3"/>
                <c:pt idx="0">
                  <c:v>Flat</c:v>
                </c:pt>
                <c:pt idx="1">
                  <c:v>Plot</c:v>
                </c:pt>
                <c:pt idx="2">
                  <c:v>Shop</c:v>
                </c:pt>
              </c:strCache>
            </c:strRef>
          </c:cat>
          <c:val>
            <c:numRef>
              <c:f>'Frequency distribution '!$C$2:$C$4</c:f>
              <c:numCache>
                <c:formatCode>0.00</c:formatCode>
                <c:ptCount val="3"/>
                <c:pt idx="0">
                  <c:v>0.57674418604651168</c:v>
                </c:pt>
                <c:pt idx="1">
                  <c:v>0.40465116279069768</c:v>
                </c:pt>
                <c:pt idx="2">
                  <c:v>1.3953488372093023E-2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5-4350-A22F-8BFAAE8257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'Frequency distribution '!$B$1</c15:sqref>
                        </c15:formulaRef>
                      </c:ext>
                    </c:extLst>
                    <c:strCache>
                      <c:ptCount val="1"/>
                      <c:pt idx="0">
                        <c:v>Frequency Distribution 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7-DE11-401E-BC3F-5B6BD4851D29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9-DE11-401E-BC3F-5B6BD4851D29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B-DE11-401E-BC3F-5B6BD4851D2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'Frequency distribution '!$A$2:$A$4</c15:sqref>
                        </c15:formulaRef>
                      </c:ext>
                    </c:extLst>
                    <c:strCache>
                      <c:ptCount val="3"/>
                      <c:pt idx="0">
                        <c:v>Flat</c:v>
                      </c:pt>
                      <c:pt idx="1">
                        <c:v>Plot</c:v>
                      </c:pt>
                      <c:pt idx="2">
                        <c:v>Shop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'Frequency distribution 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124</c:v>
                      </c:pt>
                      <c:pt idx="1">
                        <c:v>87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1D5-4350-A22F-8BFAAE825739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'Frequency distribution '!$B$22</c:f>
              <c:strCache>
                <c:ptCount val="1"/>
                <c:pt idx="0">
                  <c:v>count of lead source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'Frequency distribution '!$A$23:$A$24</c:f>
              <c:strCache>
                <c:ptCount val="2"/>
                <c:pt idx="0">
                  <c:v>personal Networking </c:v>
                </c:pt>
                <c:pt idx="1">
                  <c:v>Direct</c:v>
                </c:pt>
              </c:strCache>
            </c:strRef>
          </c:cat>
          <c:val>
            <c:numRef>
              <c:f>'Frequency distribution '!$B$23:$B$24</c:f>
              <c:numCache>
                <c:formatCode>General</c:formatCode>
                <c:ptCount val="2"/>
                <c:pt idx="0">
                  <c:v>102</c:v>
                </c:pt>
                <c:pt idx="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0-4B45-84F8-5B66111E65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4122848"/>
        <c:axId val="714124288"/>
      </c:barChart>
      <c:catAx>
        <c:axId val="71412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source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124288"/>
        <c:crosses val="autoZero"/>
        <c:auto val="1"/>
        <c:lblAlgn val="ctr"/>
        <c:lblOffset val="100"/>
        <c:noMultiLvlLbl val="0"/>
      </c:catAx>
      <c:valAx>
        <c:axId val="7141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lead source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12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clustering of  age and amount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'measures of central tendency '!$J$1</c:f>
              <c:strCache>
                <c:ptCount val="1"/>
                <c:pt idx="0">
                  <c:v>clustering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'measures of central tendency '!$J$2:$J$220</c:f>
              <c:numCache>
                <c:formatCode>General</c:formatCode>
                <c:ptCount val="219"/>
                <c:pt idx="0">
                  <c:v>9980000.0000004508</c:v>
                </c:pt>
                <c:pt idx="1">
                  <c:v>3480000.0000242814</c:v>
                </c:pt>
                <c:pt idx="2">
                  <c:v>19980000.00000811</c:v>
                </c:pt>
                <c:pt idx="3">
                  <c:v>14980000.000002136</c:v>
                </c:pt>
                <c:pt idx="4">
                  <c:v>5000.0048999975988</c:v>
                </c:pt>
                <c:pt idx="5">
                  <c:v>10000</c:v>
                </c:pt>
                <c:pt idx="6">
                  <c:v>2000.0489993997646</c:v>
                </c:pt>
                <c:pt idx="7">
                  <c:v>20000.001599999938</c:v>
                </c:pt>
                <c:pt idx="8">
                  <c:v>4000.0019999995002</c:v>
                </c:pt>
                <c:pt idx="9">
                  <c:v>8000.0089999949378</c:v>
                </c:pt>
                <c:pt idx="10">
                  <c:v>15000.005633332275</c:v>
                </c:pt>
                <c:pt idx="11">
                  <c:v>6000.0003333333243</c:v>
                </c:pt>
                <c:pt idx="12">
                  <c:v>12000.002666666371</c:v>
                </c:pt>
                <c:pt idx="13">
                  <c:v>7</c:v>
                </c:pt>
                <c:pt idx="14">
                  <c:v>3000.0166666203704</c:v>
                </c:pt>
                <c:pt idx="15">
                  <c:v>18000.000999999971</c:v>
                </c:pt>
                <c:pt idx="16">
                  <c:v>5000.0008999999191</c:v>
                </c:pt>
                <c:pt idx="17">
                  <c:v>10000.00499999875</c:v>
                </c:pt>
                <c:pt idx="18">
                  <c:v>4000.0244999249694</c:v>
                </c:pt>
                <c:pt idx="19">
                  <c:v>3</c:v>
                </c:pt>
                <c:pt idx="20">
                  <c:v>15000.002133333182</c:v>
                </c:pt>
                <c:pt idx="21">
                  <c:v>5000.0048999975988</c:v>
                </c:pt>
                <c:pt idx="22">
                  <c:v>12000</c:v>
                </c:pt>
                <c:pt idx="23">
                  <c:v>2000.0489993997646</c:v>
                </c:pt>
                <c:pt idx="24">
                  <c:v>7</c:v>
                </c:pt>
                <c:pt idx="25">
                  <c:v>20000.001599999938</c:v>
                </c:pt>
                <c:pt idx="26">
                  <c:v>4000.0124999804689</c:v>
                </c:pt>
                <c:pt idx="27">
                  <c:v>10000.003199999488</c:v>
                </c:pt>
                <c:pt idx="28">
                  <c:v>3</c:v>
                </c:pt>
                <c:pt idx="29">
                  <c:v>15000.005633332275</c:v>
                </c:pt>
                <c:pt idx="30">
                  <c:v>2000.0039999959999</c:v>
                </c:pt>
                <c:pt idx="31">
                  <c:v>5000.0008999999191</c:v>
                </c:pt>
                <c:pt idx="32">
                  <c:v>10000.00499999875</c:v>
                </c:pt>
                <c:pt idx="33">
                  <c:v>2</c:v>
                </c:pt>
                <c:pt idx="34">
                  <c:v>2000.0489993997646</c:v>
                </c:pt>
                <c:pt idx="35">
                  <c:v>15000.005633332275</c:v>
                </c:pt>
                <c:pt idx="36">
                  <c:v>7</c:v>
                </c:pt>
                <c:pt idx="37">
                  <c:v>10000</c:v>
                </c:pt>
                <c:pt idx="38">
                  <c:v>2000.0022499987344</c:v>
                </c:pt>
                <c:pt idx="39">
                  <c:v>20000.001599999938</c:v>
                </c:pt>
                <c:pt idx="40">
                  <c:v>4000.0244999249694</c:v>
                </c:pt>
                <c:pt idx="41">
                  <c:v>12000.002666666371</c:v>
                </c:pt>
                <c:pt idx="42">
                  <c:v>7</c:v>
                </c:pt>
                <c:pt idx="43">
                  <c:v>15000</c:v>
                </c:pt>
                <c:pt idx="44">
                  <c:v>5000.0099999900003</c:v>
                </c:pt>
                <c:pt idx="45">
                  <c:v>10000.001799999838</c:v>
                </c:pt>
                <c:pt idx="46">
                  <c:v>4000.0019999995002</c:v>
                </c:pt>
                <c:pt idx="47">
                  <c:v>10000.003199999488</c:v>
                </c:pt>
                <c:pt idx="48">
                  <c:v>2000.0489993997646</c:v>
                </c:pt>
                <c:pt idx="49">
                  <c:v>15000</c:v>
                </c:pt>
                <c:pt idx="50">
                  <c:v>4000.0061249953105</c:v>
                </c:pt>
                <c:pt idx="51">
                  <c:v>10000.00844999643</c:v>
                </c:pt>
                <c:pt idx="52">
                  <c:v>2000.0249998437519</c:v>
                </c:pt>
                <c:pt idx="53">
                  <c:v>29980000.00000282</c:v>
                </c:pt>
                <c:pt idx="54">
                  <c:v>2980000.0000015101</c:v>
                </c:pt>
                <c:pt idx="55">
                  <c:v>9980000.000016233</c:v>
                </c:pt>
                <c:pt idx="56">
                  <c:v>4980000.0000064261</c:v>
                </c:pt>
                <c:pt idx="57">
                  <c:v>24980000.000000179</c:v>
                </c:pt>
                <c:pt idx="58">
                  <c:v>5000.0048999975988</c:v>
                </c:pt>
                <c:pt idx="59">
                  <c:v>10000</c:v>
                </c:pt>
                <c:pt idx="60">
                  <c:v>2000.0489993997646</c:v>
                </c:pt>
                <c:pt idx="61">
                  <c:v>20000.001599999938</c:v>
                </c:pt>
                <c:pt idx="62">
                  <c:v>4000.0019999995002</c:v>
                </c:pt>
                <c:pt idx="63">
                  <c:v>8000.0089999949378</c:v>
                </c:pt>
                <c:pt idx="64">
                  <c:v>15000.005633332275</c:v>
                </c:pt>
                <c:pt idx="65">
                  <c:v>6000.0003333333243</c:v>
                </c:pt>
                <c:pt idx="66">
                  <c:v>12000.002666666371</c:v>
                </c:pt>
                <c:pt idx="67">
                  <c:v>7</c:v>
                </c:pt>
                <c:pt idx="68">
                  <c:v>3000.0166666203704</c:v>
                </c:pt>
                <c:pt idx="69">
                  <c:v>18000.000999999971</c:v>
                </c:pt>
                <c:pt idx="70">
                  <c:v>5000.0008999999191</c:v>
                </c:pt>
                <c:pt idx="71">
                  <c:v>10000.00499999875</c:v>
                </c:pt>
                <c:pt idx="72">
                  <c:v>4000.0244999249694</c:v>
                </c:pt>
                <c:pt idx="73">
                  <c:v>3</c:v>
                </c:pt>
                <c:pt idx="74">
                  <c:v>15000.002133333182</c:v>
                </c:pt>
                <c:pt idx="75">
                  <c:v>5000.0048999975988</c:v>
                </c:pt>
                <c:pt idx="76">
                  <c:v>12000</c:v>
                </c:pt>
                <c:pt idx="77">
                  <c:v>2000.0489993997646</c:v>
                </c:pt>
                <c:pt idx="78">
                  <c:v>7</c:v>
                </c:pt>
                <c:pt idx="79">
                  <c:v>20000.001599999938</c:v>
                </c:pt>
                <c:pt idx="80">
                  <c:v>4000.0124999804689</c:v>
                </c:pt>
                <c:pt idx="81">
                  <c:v>10000.003199999488</c:v>
                </c:pt>
                <c:pt idx="82">
                  <c:v>3</c:v>
                </c:pt>
                <c:pt idx="83">
                  <c:v>15000.005633332275</c:v>
                </c:pt>
                <c:pt idx="84">
                  <c:v>2000.0039999959999</c:v>
                </c:pt>
                <c:pt idx="85">
                  <c:v>5000.0008999999191</c:v>
                </c:pt>
                <c:pt idx="86">
                  <c:v>10000.00499999875</c:v>
                </c:pt>
                <c:pt idx="87">
                  <c:v>4000</c:v>
                </c:pt>
                <c:pt idx="88">
                  <c:v>7</c:v>
                </c:pt>
                <c:pt idx="89">
                  <c:v>20000.000899999981</c:v>
                </c:pt>
                <c:pt idx="90">
                  <c:v>5000</c:v>
                </c:pt>
                <c:pt idx="91">
                  <c:v>12000.002666666371</c:v>
                </c:pt>
                <c:pt idx="92">
                  <c:v>2000.0489993997646</c:v>
                </c:pt>
                <c:pt idx="93">
                  <c:v>15000.005633332275</c:v>
                </c:pt>
                <c:pt idx="94">
                  <c:v>4000.0124999804689</c:v>
                </c:pt>
                <c:pt idx="95">
                  <c:v>5000.0195999615844</c:v>
                </c:pt>
                <c:pt idx="96">
                  <c:v>10000</c:v>
                </c:pt>
                <c:pt idx="97">
                  <c:v>3</c:v>
                </c:pt>
                <c:pt idx="98">
                  <c:v>4000.0019999995002</c:v>
                </c:pt>
                <c:pt idx="99">
                  <c:v>15000.002133333182</c:v>
                </c:pt>
                <c:pt idx="100">
                  <c:v>5000.0048999975988</c:v>
                </c:pt>
                <c:pt idx="101">
                  <c:v>10000</c:v>
                </c:pt>
                <c:pt idx="102">
                  <c:v>2000.0489993997646</c:v>
                </c:pt>
                <c:pt idx="103">
                  <c:v>20000.004224999553</c:v>
                </c:pt>
                <c:pt idx="104">
                  <c:v>3000.0014999996251</c:v>
                </c:pt>
                <c:pt idx="105">
                  <c:v>5000.0099999900003</c:v>
                </c:pt>
                <c:pt idx="106">
                  <c:v>15000.005633332275</c:v>
                </c:pt>
                <c:pt idx="107">
                  <c:v>12</c:v>
                </c:pt>
                <c:pt idx="108">
                  <c:v>18000.000999999971</c:v>
                </c:pt>
                <c:pt idx="109">
                  <c:v>4000.001124999842</c:v>
                </c:pt>
                <c:pt idx="110">
                  <c:v>14980000.0000003</c:v>
                </c:pt>
                <c:pt idx="111">
                  <c:v>3480000.000014368</c:v>
                </c:pt>
                <c:pt idx="112">
                  <c:v>29980000.000000268</c:v>
                </c:pt>
                <c:pt idx="113">
                  <c:v>24980000.000000078</c:v>
                </c:pt>
                <c:pt idx="114">
                  <c:v>2980000.0000283555</c:v>
                </c:pt>
                <c:pt idx="115">
                  <c:v>5000.0048999975988</c:v>
                </c:pt>
                <c:pt idx="116">
                  <c:v>10000</c:v>
                </c:pt>
                <c:pt idx="117">
                  <c:v>2000.0159999360005</c:v>
                </c:pt>
                <c:pt idx="118">
                  <c:v>12</c:v>
                </c:pt>
                <c:pt idx="119">
                  <c:v>15000.000133333333</c:v>
                </c:pt>
                <c:pt idx="120">
                  <c:v>5000.001599999744</c:v>
                </c:pt>
                <c:pt idx="121">
                  <c:v>12000.000374999994</c:v>
                </c:pt>
                <c:pt idx="122">
                  <c:v>1000.0979951984706</c:v>
                </c:pt>
                <c:pt idx="123">
                  <c:v>3000.0166666203704</c:v>
                </c:pt>
                <c:pt idx="124">
                  <c:v>20000.001599999938</c:v>
                </c:pt>
                <c:pt idx="125">
                  <c:v>5000.0048999975988</c:v>
                </c:pt>
                <c:pt idx="126">
                  <c:v>10000</c:v>
                </c:pt>
                <c:pt idx="127">
                  <c:v>4000.0079999919999</c:v>
                </c:pt>
                <c:pt idx="128">
                  <c:v>2000.0359996760058</c:v>
                </c:pt>
                <c:pt idx="129">
                  <c:v>12000.000166666665</c:v>
                </c:pt>
                <c:pt idx="130">
                  <c:v>5000.001599999744</c:v>
                </c:pt>
                <c:pt idx="131">
                  <c:v>10000.00044999999</c:v>
                </c:pt>
                <c:pt idx="132">
                  <c:v>1000.0979951984706</c:v>
                </c:pt>
                <c:pt idx="133">
                  <c:v>3000.0166666203704</c:v>
                </c:pt>
                <c:pt idx="134">
                  <c:v>20000.001599999938</c:v>
                </c:pt>
                <c:pt idx="135">
                  <c:v>5000.0048999975988</c:v>
                </c:pt>
                <c:pt idx="136">
                  <c:v>10000</c:v>
                </c:pt>
                <c:pt idx="137">
                  <c:v>4000.0079999919999</c:v>
                </c:pt>
                <c:pt idx="138">
                  <c:v>2000.0359996760058</c:v>
                </c:pt>
                <c:pt idx="139">
                  <c:v>15000.000133333333</c:v>
                </c:pt>
                <c:pt idx="140">
                  <c:v>5000.001599999744</c:v>
                </c:pt>
                <c:pt idx="141">
                  <c:v>12000.000374999994</c:v>
                </c:pt>
                <c:pt idx="142">
                  <c:v>1000.0979951984706</c:v>
                </c:pt>
                <c:pt idx="143">
                  <c:v>3000.0166666203704</c:v>
                </c:pt>
                <c:pt idx="144">
                  <c:v>20000.001599999938</c:v>
                </c:pt>
                <c:pt idx="145">
                  <c:v>5000.0048999975988</c:v>
                </c:pt>
                <c:pt idx="146">
                  <c:v>10000</c:v>
                </c:pt>
                <c:pt idx="147">
                  <c:v>4000.0079999919999</c:v>
                </c:pt>
                <c:pt idx="148">
                  <c:v>2000.0359996760058</c:v>
                </c:pt>
                <c:pt idx="149">
                  <c:v>12000.000166666665</c:v>
                </c:pt>
                <c:pt idx="150">
                  <c:v>5000.001599999744</c:v>
                </c:pt>
                <c:pt idx="151">
                  <c:v>10000.00044999999</c:v>
                </c:pt>
                <c:pt idx="152">
                  <c:v>1000.0979951984706</c:v>
                </c:pt>
                <c:pt idx="153">
                  <c:v>3000.0166666203704</c:v>
                </c:pt>
                <c:pt idx="154">
                  <c:v>20000.001599999938</c:v>
                </c:pt>
                <c:pt idx="155">
                  <c:v>5000.0048999975988</c:v>
                </c:pt>
                <c:pt idx="156">
                  <c:v>10000</c:v>
                </c:pt>
                <c:pt idx="157">
                  <c:v>4000.0079999919999</c:v>
                </c:pt>
                <c:pt idx="158">
                  <c:v>2000.0359996760058</c:v>
                </c:pt>
                <c:pt idx="159">
                  <c:v>12000.000166666665</c:v>
                </c:pt>
                <c:pt idx="160">
                  <c:v>5000.001599999744</c:v>
                </c:pt>
                <c:pt idx="161">
                  <c:v>10000.00044999999</c:v>
                </c:pt>
                <c:pt idx="162">
                  <c:v>1000.0979951984706</c:v>
                </c:pt>
                <c:pt idx="163">
                  <c:v>3000.0166666203704</c:v>
                </c:pt>
                <c:pt idx="164">
                  <c:v>20000.001599999938</c:v>
                </c:pt>
                <c:pt idx="165">
                  <c:v>3480000.0000012931</c:v>
                </c:pt>
                <c:pt idx="166">
                  <c:v>14980000.00000564</c:v>
                </c:pt>
                <c:pt idx="167">
                  <c:v>24980000.000006486</c:v>
                </c:pt>
                <c:pt idx="168">
                  <c:v>3980000.0000080401</c:v>
                </c:pt>
                <c:pt idx="169">
                  <c:v>5000.0048999975988</c:v>
                </c:pt>
                <c:pt idx="170">
                  <c:v>10000</c:v>
                </c:pt>
                <c:pt idx="171">
                  <c:v>2000.0159999360005</c:v>
                </c:pt>
                <c:pt idx="172">
                  <c:v>12</c:v>
                </c:pt>
                <c:pt idx="173">
                  <c:v>15000.000133333333</c:v>
                </c:pt>
                <c:pt idx="174">
                  <c:v>5000.001599999744</c:v>
                </c:pt>
                <c:pt idx="175">
                  <c:v>12000.000374999994</c:v>
                </c:pt>
                <c:pt idx="176">
                  <c:v>1000.0979951984706</c:v>
                </c:pt>
                <c:pt idx="177">
                  <c:v>3000.0166666203704</c:v>
                </c:pt>
                <c:pt idx="178">
                  <c:v>20000.001599999938</c:v>
                </c:pt>
                <c:pt idx="179">
                  <c:v>5000.0048999975988</c:v>
                </c:pt>
                <c:pt idx="180">
                  <c:v>10000</c:v>
                </c:pt>
                <c:pt idx="181">
                  <c:v>4000.0079999919999</c:v>
                </c:pt>
                <c:pt idx="182">
                  <c:v>2000.0359996760058</c:v>
                </c:pt>
                <c:pt idx="183">
                  <c:v>12000.000166666665</c:v>
                </c:pt>
                <c:pt idx="184">
                  <c:v>5000.001599999744</c:v>
                </c:pt>
                <c:pt idx="185">
                  <c:v>10000.00044999999</c:v>
                </c:pt>
                <c:pt idx="186">
                  <c:v>1000.0979951984706</c:v>
                </c:pt>
                <c:pt idx="187">
                  <c:v>3000.0166666203704</c:v>
                </c:pt>
                <c:pt idx="188">
                  <c:v>20000.001599999938</c:v>
                </c:pt>
                <c:pt idx="189">
                  <c:v>5000.0048999975988</c:v>
                </c:pt>
                <c:pt idx="190">
                  <c:v>10000</c:v>
                </c:pt>
                <c:pt idx="191">
                  <c:v>4000.0079999919999</c:v>
                </c:pt>
                <c:pt idx="192">
                  <c:v>2000.0122499624847</c:v>
                </c:pt>
                <c:pt idx="193">
                  <c:v>15000.002133333182</c:v>
                </c:pt>
                <c:pt idx="194">
                  <c:v>5000.001599999744</c:v>
                </c:pt>
                <c:pt idx="195">
                  <c:v>10000</c:v>
                </c:pt>
                <c:pt idx="196">
                  <c:v>1000.0979951984706</c:v>
                </c:pt>
                <c:pt idx="197">
                  <c:v>3000.0166666203704</c:v>
                </c:pt>
                <c:pt idx="198">
                  <c:v>20000.001599999938</c:v>
                </c:pt>
                <c:pt idx="199">
                  <c:v>5000.0048999975988</c:v>
                </c:pt>
                <c:pt idx="200">
                  <c:v>10000</c:v>
                </c:pt>
                <c:pt idx="201">
                  <c:v>4000.0079999919999</c:v>
                </c:pt>
                <c:pt idx="202">
                  <c:v>2000.0359996760058</c:v>
                </c:pt>
                <c:pt idx="203">
                  <c:v>12000.000166666665</c:v>
                </c:pt>
                <c:pt idx="204">
                  <c:v>5000.001599999744</c:v>
                </c:pt>
                <c:pt idx="205">
                  <c:v>10000.00044999999</c:v>
                </c:pt>
                <c:pt idx="206">
                  <c:v>1000.0979951984706</c:v>
                </c:pt>
                <c:pt idx="207">
                  <c:v>3000.0166666203704</c:v>
                </c:pt>
                <c:pt idx="208">
                  <c:v>20000.001599999938</c:v>
                </c:pt>
                <c:pt idx="209">
                  <c:v>5000.0048999975988</c:v>
                </c:pt>
                <c:pt idx="210">
                  <c:v>10000</c:v>
                </c:pt>
                <c:pt idx="211">
                  <c:v>4000.0079999919999</c:v>
                </c:pt>
                <c:pt idx="212">
                  <c:v>2000.0359996760058</c:v>
                </c:pt>
                <c:pt idx="213">
                  <c:v>12000.000166666665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1-4695-9070-A201CDE3A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70656"/>
        <c:axId val="1922369696"/>
      </c:scatterChart>
      <c:valAx>
        <c:axId val="192237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69696"/>
        <c:crosses val="autoZero"/>
        <c:crossBetween val="midCat"/>
      </c:valAx>
      <c:valAx>
        <c:axId val="19223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7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Of Deals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 '!$B$1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 '!$A$2:$A$3</c:f>
              <c:strCache>
                <c:ptCount val="2"/>
                <c:pt idx="0">
                  <c:v>Rent</c:v>
                </c:pt>
                <c:pt idx="1">
                  <c:v>Sale</c:v>
                </c:pt>
              </c:strCache>
            </c:strRef>
          </c:cat>
          <c:val>
            <c:numRef>
              <c:f>'count '!$B$2:$B$3</c:f>
              <c:numCache>
                <c:formatCode>General</c:formatCode>
                <c:ptCount val="2"/>
                <c:pt idx="0">
                  <c:v>196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3-4C07-9347-16B03B9163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730528"/>
        <c:axId val="867731008"/>
      </c:barChart>
      <c:catAx>
        <c:axId val="86773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Type Of Deal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31008"/>
        <c:crosses val="autoZero"/>
        <c:auto val="1"/>
        <c:lblAlgn val="ctr"/>
        <c:lblOffset val="100"/>
        <c:noMultiLvlLbl val="0"/>
      </c:catAx>
      <c:valAx>
        <c:axId val="8677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3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Location Count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 '!$A$21:$A$27</c:f>
              <c:strCache>
                <c:ptCount val="7"/>
                <c:pt idx="0">
                  <c:v>Aadrash Nagar </c:v>
                </c:pt>
                <c:pt idx="1">
                  <c:v>Azadpur</c:v>
                </c:pt>
                <c:pt idx="2">
                  <c:v>Indira Nagar</c:v>
                </c:pt>
                <c:pt idx="3">
                  <c:v>Kewal Park</c:v>
                </c:pt>
                <c:pt idx="4">
                  <c:v>Majlis Park</c:v>
                </c:pt>
                <c:pt idx="5">
                  <c:v>Model Town </c:v>
                </c:pt>
                <c:pt idx="6">
                  <c:v>Mukundpur</c:v>
                </c:pt>
              </c:strCache>
            </c:strRef>
          </c:cat>
          <c:val>
            <c:numRef>
              <c:f>'count '!$B$21:$B$27</c:f>
              <c:numCache>
                <c:formatCode>General</c:formatCode>
                <c:ptCount val="7"/>
                <c:pt idx="0">
                  <c:v>41</c:v>
                </c:pt>
                <c:pt idx="1">
                  <c:v>37</c:v>
                </c:pt>
                <c:pt idx="2">
                  <c:v>46</c:v>
                </c:pt>
                <c:pt idx="3">
                  <c:v>4</c:v>
                </c:pt>
                <c:pt idx="4">
                  <c:v>33</c:v>
                </c:pt>
                <c:pt idx="5">
                  <c:v>41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F-4C94-ACE9-F259BB8F6B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3033376"/>
        <c:axId val="793026656"/>
      </c:barChart>
      <c:catAx>
        <c:axId val="79303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26656"/>
        <c:crosses val="autoZero"/>
        <c:auto val="1"/>
        <c:lblAlgn val="ctr"/>
        <c:lblOffset val="100"/>
        <c:noMultiLvlLbl val="0"/>
      </c:catAx>
      <c:valAx>
        <c:axId val="7930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Of deals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 '!$B$40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 '!$A$41:$A$42</c:f>
              <c:strCache>
                <c:ptCount val="2"/>
                <c:pt idx="0">
                  <c:v>Resident </c:v>
                </c:pt>
                <c:pt idx="1">
                  <c:v>Commercial</c:v>
                </c:pt>
              </c:strCache>
            </c:strRef>
          </c:cat>
          <c:val>
            <c:numRef>
              <c:f>'count '!$B$41:$B$42</c:f>
              <c:numCache>
                <c:formatCode>General</c:formatCode>
                <c:ptCount val="2"/>
                <c:pt idx="0">
                  <c:v>127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B-445C-B2B3-3A15BAC43D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74874160"/>
        <c:axId val="657134144"/>
      </c:barChart>
      <c:catAx>
        <c:axId val="207487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purpose of deal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34144"/>
        <c:crosses val="autoZero"/>
        <c:auto val="1"/>
        <c:lblAlgn val="ctr"/>
        <c:lblOffset val="100"/>
        <c:noMultiLvlLbl val="0"/>
      </c:catAx>
      <c:valAx>
        <c:axId val="65713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deals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'count '!$B$57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26A1-430C-90AC-C014A96E82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6A1-430C-90AC-C014A96E8286}"/>
              </c:ext>
            </c:extLst>
          </c:dPt>
          <c:dLbls>
            <c:dLbl>
              <c:idx val="0"/>
              <c:layout>
                <c:manualLayout>
                  <c:x val="-0.11730708661417323"/>
                  <c:y val="8.461249635462242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A1-430C-90AC-C014A96E8286}"/>
                </c:ext>
              </c:extLst>
            </c:dLbl>
            <c:dLbl>
              <c:idx val="1"/>
              <c:layout>
                <c:manualLayout>
                  <c:x val="7.9889107611548563E-2"/>
                  <c:y val="-6.270122484689413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A1-430C-90AC-C014A96E828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'count '!$A$58:$A$60</c15:sqref>
                  </c15:fullRef>
                </c:ext>
              </c:extLst>
              <c:f>'count '!$A$58:$A$59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'count '!$B$58:$B$60</c15:sqref>
                  </c15:fullRef>
                </c:ext>
              </c:extLst>
              <c:f>'count '!$B$58:$B$59</c:f>
              <c:numCache>
                <c:formatCode>General</c:formatCode>
                <c:ptCount val="2"/>
                <c:pt idx="0">
                  <c:v>106</c:v>
                </c:pt>
                <c:pt idx="1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'count '!$B$60</c15:sqref>
                  <c15:dLbl>
                    <c:idx val="1"/>
                    <c:layout>
                      <c:manualLayout>
                        <c:x val="8.7054680664916881E-2"/>
                        <c:y val="-6.1696558763487896E-2"/>
                      </c:manualLayout>
                    </c:layout>
                    <c:dLblPos val="bestFit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564A-45F4-9E88-992F41330A8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26A1-430C-90AC-C014A96E828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'count '!$C$57</c15:sqref>
                        </c15:formulaRef>
                      </c:ext>
                    </c:extLst>
                    <c:strCache>
                      <c:ptCount val="1"/>
                      <c:pt idx="0">
                        <c:v>Relative Frequency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5-BF38-47F0-BBA6-D584CB03B6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7-BF38-47F0-BBA6-D584CB03B68C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'count '!$A$58:$A$60</c15:sqref>
                        </c15:fullRef>
                        <c15:formulaRef>
                          <c15:sqref>'count '!$A$58:$A$59</c15:sqref>
                        </c15:formulaRef>
                      </c:ext>
                    </c:extLst>
                    <c:strCache>
                      <c:ptCount val="2"/>
                      <c:pt idx="0">
                        <c:v>Female</c:v>
                      </c:pt>
                      <c:pt idx="1">
                        <c:v>Male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'count '!$C$58:$C$60</c15:sqref>
                        </c15:fullRef>
                        <c15:formulaRef>
                          <c15:sqref>'count '!$C$58:$C$59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0.5</c:v>
                      </c:pt>
                      <c:pt idx="1">
                        <c:v>0.5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26A1-430C-90AC-C014A96E8286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'count '!$D$57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BF38-47F0-BBA6-D584CB03B6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BF38-47F0-BBA6-D584CB03B68C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'count '!$A$58:$A$60</c15:sqref>
                        </c15:fullRef>
                        <c15:formulaRef>
                          <c15:sqref>'count '!$A$58:$A$59</c15:sqref>
                        </c15:formulaRef>
                      </c:ext>
                    </c:extLst>
                    <c:strCache>
                      <c:ptCount val="2"/>
                      <c:pt idx="0">
                        <c:v>Female</c:v>
                      </c:pt>
                      <c:pt idx="1">
                        <c:v>Male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'count '!$D$58:$D$60</c15:sqref>
                        </c15:fullRef>
                        <c15:formulaRef>
                          <c15:sqref>'count '!$D$58:$D$59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26A1-430C-90AC-C014A96E828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'count '!$E$57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BF38-47F0-BBA6-D584CB03B6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BF38-47F0-BBA6-D584CB03B68C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'count '!$A$58:$A$60</c15:sqref>
                        </c15:fullRef>
                        <c15:formulaRef>
                          <c15:sqref>'count '!$A$58:$A$59</c15:sqref>
                        </c15:formulaRef>
                      </c:ext>
                    </c:extLst>
                    <c:strCache>
                      <c:ptCount val="2"/>
                      <c:pt idx="0">
                        <c:v>Female</c:v>
                      </c:pt>
                      <c:pt idx="1">
                        <c:v>Male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'count '!$E$58:$E$60</c15:sqref>
                        </c15:fullRef>
                        <c15:formulaRef>
                          <c15:sqref>'count '!$E$58:$E$59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26A1-430C-90AC-C014A96E8286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'histogram amt and age'!$A$1</c:f>
              <c:strCache>
                <c:ptCount val="1"/>
                <c:pt idx="0">
                  <c:v>Amount of Deal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'histogram amt and age'!$A$2:$A$220</c:f>
              <c:numCache>
                <c:formatCode>"₹"#,##0.00_);[Red]\("₹"#,##0.00\)</c:formatCode>
                <c:ptCount val="219"/>
                <c:pt idx="0">
                  <c:v>10000000</c:v>
                </c:pt>
                <c:pt idx="1">
                  <c:v>3500000</c:v>
                </c:pt>
                <c:pt idx="2">
                  <c:v>20000000</c:v>
                </c:pt>
                <c:pt idx="3">
                  <c:v>15000000</c:v>
                </c:pt>
                <c:pt idx="4">
                  <c:v>15000</c:v>
                </c:pt>
                <c:pt idx="5">
                  <c:v>30000</c:v>
                </c:pt>
                <c:pt idx="6">
                  <c:v>18000</c:v>
                </c:pt>
                <c:pt idx="7">
                  <c:v>40000</c:v>
                </c:pt>
                <c:pt idx="8">
                  <c:v>16000</c:v>
                </c:pt>
                <c:pt idx="9">
                  <c:v>12000</c:v>
                </c:pt>
                <c:pt idx="10">
                  <c:v>35000</c:v>
                </c:pt>
                <c:pt idx="11">
                  <c:v>14000</c:v>
                </c:pt>
                <c:pt idx="12">
                  <c:v>32000</c:v>
                </c:pt>
                <c:pt idx="13">
                  <c:v>20000</c:v>
                </c:pt>
                <c:pt idx="14">
                  <c:v>17000</c:v>
                </c:pt>
                <c:pt idx="15">
                  <c:v>38000</c:v>
                </c:pt>
                <c:pt idx="16">
                  <c:v>15000</c:v>
                </c:pt>
                <c:pt idx="17">
                  <c:v>30000</c:v>
                </c:pt>
                <c:pt idx="18">
                  <c:v>16000</c:v>
                </c:pt>
                <c:pt idx="19">
                  <c:v>20000</c:v>
                </c:pt>
                <c:pt idx="20">
                  <c:v>35000</c:v>
                </c:pt>
                <c:pt idx="21">
                  <c:v>15000</c:v>
                </c:pt>
                <c:pt idx="22">
                  <c:v>32000</c:v>
                </c:pt>
                <c:pt idx="23">
                  <c:v>18000</c:v>
                </c:pt>
                <c:pt idx="24">
                  <c:v>20000</c:v>
                </c:pt>
                <c:pt idx="25">
                  <c:v>40000</c:v>
                </c:pt>
                <c:pt idx="26">
                  <c:v>16000</c:v>
                </c:pt>
                <c:pt idx="27">
                  <c:v>30000</c:v>
                </c:pt>
                <c:pt idx="28">
                  <c:v>20000</c:v>
                </c:pt>
                <c:pt idx="29">
                  <c:v>35000</c:v>
                </c:pt>
                <c:pt idx="30">
                  <c:v>18000</c:v>
                </c:pt>
                <c:pt idx="31">
                  <c:v>15000</c:v>
                </c:pt>
                <c:pt idx="32">
                  <c:v>30000</c:v>
                </c:pt>
                <c:pt idx="33">
                  <c:v>20000</c:v>
                </c:pt>
                <c:pt idx="34">
                  <c:v>18000</c:v>
                </c:pt>
                <c:pt idx="35">
                  <c:v>35000</c:v>
                </c:pt>
                <c:pt idx="36">
                  <c:v>20000</c:v>
                </c:pt>
                <c:pt idx="37">
                  <c:v>30000</c:v>
                </c:pt>
                <c:pt idx="38">
                  <c:v>18000</c:v>
                </c:pt>
                <c:pt idx="39">
                  <c:v>40000</c:v>
                </c:pt>
                <c:pt idx="40">
                  <c:v>16000</c:v>
                </c:pt>
                <c:pt idx="41">
                  <c:v>32000</c:v>
                </c:pt>
                <c:pt idx="42">
                  <c:v>20000</c:v>
                </c:pt>
                <c:pt idx="43">
                  <c:v>35000</c:v>
                </c:pt>
                <c:pt idx="44">
                  <c:v>15000</c:v>
                </c:pt>
                <c:pt idx="45">
                  <c:v>30000</c:v>
                </c:pt>
                <c:pt idx="46">
                  <c:v>16000</c:v>
                </c:pt>
                <c:pt idx="47">
                  <c:v>30000</c:v>
                </c:pt>
                <c:pt idx="48">
                  <c:v>18000</c:v>
                </c:pt>
                <c:pt idx="49">
                  <c:v>35000</c:v>
                </c:pt>
                <c:pt idx="50">
                  <c:v>16000</c:v>
                </c:pt>
                <c:pt idx="51">
                  <c:v>30000</c:v>
                </c:pt>
                <c:pt idx="52">
                  <c:v>18000</c:v>
                </c:pt>
                <c:pt idx="53">
                  <c:v>30000000</c:v>
                </c:pt>
                <c:pt idx="54">
                  <c:v>3000000</c:v>
                </c:pt>
                <c:pt idx="55">
                  <c:v>10000000</c:v>
                </c:pt>
                <c:pt idx="56">
                  <c:v>5000000</c:v>
                </c:pt>
                <c:pt idx="57">
                  <c:v>25000000</c:v>
                </c:pt>
                <c:pt idx="58">
                  <c:v>15000</c:v>
                </c:pt>
                <c:pt idx="59">
                  <c:v>30000</c:v>
                </c:pt>
                <c:pt idx="60">
                  <c:v>18000</c:v>
                </c:pt>
                <c:pt idx="61">
                  <c:v>40000</c:v>
                </c:pt>
                <c:pt idx="62">
                  <c:v>16000</c:v>
                </c:pt>
                <c:pt idx="63">
                  <c:v>12000</c:v>
                </c:pt>
                <c:pt idx="64">
                  <c:v>35000</c:v>
                </c:pt>
                <c:pt idx="65">
                  <c:v>14000</c:v>
                </c:pt>
                <c:pt idx="66">
                  <c:v>32000</c:v>
                </c:pt>
                <c:pt idx="67">
                  <c:v>20000</c:v>
                </c:pt>
                <c:pt idx="68">
                  <c:v>17000</c:v>
                </c:pt>
                <c:pt idx="69">
                  <c:v>38000</c:v>
                </c:pt>
                <c:pt idx="70">
                  <c:v>15000</c:v>
                </c:pt>
                <c:pt idx="71">
                  <c:v>30000</c:v>
                </c:pt>
                <c:pt idx="72">
                  <c:v>16000</c:v>
                </c:pt>
                <c:pt idx="73">
                  <c:v>20000</c:v>
                </c:pt>
                <c:pt idx="74">
                  <c:v>35000</c:v>
                </c:pt>
                <c:pt idx="75">
                  <c:v>15000</c:v>
                </c:pt>
                <c:pt idx="76">
                  <c:v>32000</c:v>
                </c:pt>
                <c:pt idx="77">
                  <c:v>18000</c:v>
                </c:pt>
                <c:pt idx="78">
                  <c:v>20000</c:v>
                </c:pt>
                <c:pt idx="79">
                  <c:v>40000</c:v>
                </c:pt>
                <c:pt idx="80">
                  <c:v>16000</c:v>
                </c:pt>
                <c:pt idx="81">
                  <c:v>30000</c:v>
                </c:pt>
                <c:pt idx="82">
                  <c:v>20000</c:v>
                </c:pt>
                <c:pt idx="83">
                  <c:v>35000</c:v>
                </c:pt>
                <c:pt idx="84">
                  <c:v>18000</c:v>
                </c:pt>
                <c:pt idx="85">
                  <c:v>15000</c:v>
                </c:pt>
                <c:pt idx="86">
                  <c:v>30000</c:v>
                </c:pt>
                <c:pt idx="87">
                  <c:v>16000</c:v>
                </c:pt>
                <c:pt idx="88">
                  <c:v>20000</c:v>
                </c:pt>
                <c:pt idx="89">
                  <c:v>40000</c:v>
                </c:pt>
                <c:pt idx="90">
                  <c:v>15000</c:v>
                </c:pt>
                <c:pt idx="91">
                  <c:v>32000</c:v>
                </c:pt>
                <c:pt idx="92">
                  <c:v>18000</c:v>
                </c:pt>
                <c:pt idx="93">
                  <c:v>35000</c:v>
                </c:pt>
                <c:pt idx="94">
                  <c:v>16000</c:v>
                </c:pt>
                <c:pt idx="95">
                  <c:v>15000</c:v>
                </c:pt>
                <c:pt idx="96">
                  <c:v>30000</c:v>
                </c:pt>
                <c:pt idx="97">
                  <c:v>20000</c:v>
                </c:pt>
                <c:pt idx="98">
                  <c:v>16000</c:v>
                </c:pt>
                <c:pt idx="99">
                  <c:v>35000</c:v>
                </c:pt>
                <c:pt idx="100">
                  <c:v>15000</c:v>
                </c:pt>
                <c:pt idx="101">
                  <c:v>30000</c:v>
                </c:pt>
                <c:pt idx="102">
                  <c:v>18000</c:v>
                </c:pt>
                <c:pt idx="103">
                  <c:v>40000</c:v>
                </c:pt>
                <c:pt idx="104">
                  <c:v>17000</c:v>
                </c:pt>
                <c:pt idx="105">
                  <c:v>15000</c:v>
                </c:pt>
                <c:pt idx="106">
                  <c:v>35000</c:v>
                </c:pt>
                <c:pt idx="107">
                  <c:v>20000</c:v>
                </c:pt>
                <c:pt idx="108">
                  <c:v>38000</c:v>
                </c:pt>
                <c:pt idx="109">
                  <c:v>16000</c:v>
                </c:pt>
                <c:pt idx="110">
                  <c:v>15000000</c:v>
                </c:pt>
                <c:pt idx="111">
                  <c:v>3500000</c:v>
                </c:pt>
                <c:pt idx="112">
                  <c:v>30000000</c:v>
                </c:pt>
                <c:pt idx="113">
                  <c:v>25000000</c:v>
                </c:pt>
                <c:pt idx="114">
                  <c:v>3000000</c:v>
                </c:pt>
                <c:pt idx="115">
                  <c:v>15000</c:v>
                </c:pt>
                <c:pt idx="116">
                  <c:v>30000</c:v>
                </c:pt>
                <c:pt idx="117">
                  <c:v>18000</c:v>
                </c:pt>
                <c:pt idx="118">
                  <c:v>20000</c:v>
                </c:pt>
                <c:pt idx="119">
                  <c:v>35000</c:v>
                </c:pt>
                <c:pt idx="120">
                  <c:v>15000</c:v>
                </c:pt>
                <c:pt idx="121">
                  <c:v>32000</c:v>
                </c:pt>
                <c:pt idx="122">
                  <c:v>19000</c:v>
                </c:pt>
                <c:pt idx="123">
                  <c:v>17000</c:v>
                </c:pt>
                <c:pt idx="124">
                  <c:v>40000</c:v>
                </c:pt>
                <c:pt idx="125">
                  <c:v>15000</c:v>
                </c:pt>
                <c:pt idx="126">
                  <c:v>30000</c:v>
                </c:pt>
                <c:pt idx="127">
                  <c:v>16000</c:v>
                </c:pt>
                <c:pt idx="128">
                  <c:v>18000</c:v>
                </c:pt>
                <c:pt idx="129">
                  <c:v>32000</c:v>
                </c:pt>
                <c:pt idx="130">
                  <c:v>15000</c:v>
                </c:pt>
                <c:pt idx="131">
                  <c:v>30000</c:v>
                </c:pt>
                <c:pt idx="132">
                  <c:v>19000</c:v>
                </c:pt>
                <c:pt idx="133">
                  <c:v>17000</c:v>
                </c:pt>
                <c:pt idx="134">
                  <c:v>40000</c:v>
                </c:pt>
                <c:pt idx="135">
                  <c:v>15000</c:v>
                </c:pt>
                <c:pt idx="136">
                  <c:v>30000</c:v>
                </c:pt>
                <c:pt idx="137">
                  <c:v>16000</c:v>
                </c:pt>
                <c:pt idx="138">
                  <c:v>18000</c:v>
                </c:pt>
                <c:pt idx="139">
                  <c:v>35000</c:v>
                </c:pt>
                <c:pt idx="140">
                  <c:v>15000</c:v>
                </c:pt>
                <c:pt idx="141">
                  <c:v>32000</c:v>
                </c:pt>
                <c:pt idx="142">
                  <c:v>19000</c:v>
                </c:pt>
                <c:pt idx="143">
                  <c:v>17000</c:v>
                </c:pt>
                <c:pt idx="144">
                  <c:v>40000</c:v>
                </c:pt>
                <c:pt idx="145">
                  <c:v>15000</c:v>
                </c:pt>
                <c:pt idx="146">
                  <c:v>30000</c:v>
                </c:pt>
                <c:pt idx="147">
                  <c:v>16000</c:v>
                </c:pt>
                <c:pt idx="148">
                  <c:v>18000</c:v>
                </c:pt>
                <c:pt idx="149">
                  <c:v>32000</c:v>
                </c:pt>
                <c:pt idx="150">
                  <c:v>15000</c:v>
                </c:pt>
                <c:pt idx="151">
                  <c:v>30000</c:v>
                </c:pt>
                <c:pt idx="152">
                  <c:v>19000</c:v>
                </c:pt>
                <c:pt idx="153">
                  <c:v>17000</c:v>
                </c:pt>
                <c:pt idx="154">
                  <c:v>40000</c:v>
                </c:pt>
                <c:pt idx="155">
                  <c:v>15000</c:v>
                </c:pt>
                <c:pt idx="156">
                  <c:v>30000</c:v>
                </c:pt>
                <c:pt idx="157">
                  <c:v>16000</c:v>
                </c:pt>
                <c:pt idx="158">
                  <c:v>18000</c:v>
                </c:pt>
                <c:pt idx="159">
                  <c:v>32000</c:v>
                </c:pt>
                <c:pt idx="160">
                  <c:v>15000</c:v>
                </c:pt>
                <c:pt idx="161">
                  <c:v>30000</c:v>
                </c:pt>
                <c:pt idx="162">
                  <c:v>19000</c:v>
                </c:pt>
                <c:pt idx="163">
                  <c:v>17000</c:v>
                </c:pt>
                <c:pt idx="164">
                  <c:v>40000</c:v>
                </c:pt>
                <c:pt idx="165">
                  <c:v>3500000</c:v>
                </c:pt>
                <c:pt idx="166">
                  <c:v>15000000</c:v>
                </c:pt>
                <c:pt idx="167">
                  <c:v>25000000</c:v>
                </c:pt>
                <c:pt idx="168">
                  <c:v>4000000</c:v>
                </c:pt>
                <c:pt idx="169">
                  <c:v>15000</c:v>
                </c:pt>
                <c:pt idx="170">
                  <c:v>30000</c:v>
                </c:pt>
                <c:pt idx="171">
                  <c:v>18000</c:v>
                </c:pt>
                <c:pt idx="172">
                  <c:v>20000</c:v>
                </c:pt>
                <c:pt idx="173">
                  <c:v>35000</c:v>
                </c:pt>
                <c:pt idx="174">
                  <c:v>15000</c:v>
                </c:pt>
                <c:pt idx="175">
                  <c:v>32000</c:v>
                </c:pt>
                <c:pt idx="176">
                  <c:v>19000</c:v>
                </c:pt>
                <c:pt idx="177">
                  <c:v>17000</c:v>
                </c:pt>
                <c:pt idx="178">
                  <c:v>40000</c:v>
                </c:pt>
                <c:pt idx="179">
                  <c:v>15000</c:v>
                </c:pt>
                <c:pt idx="180">
                  <c:v>30000</c:v>
                </c:pt>
                <c:pt idx="181">
                  <c:v>16000</c:v>
                </c:pt>
                <c:pt idx="182">
                  <c:v>18000</c:v>
                </c:pt>
                <c:pt idx="183">
                  <c:v>32000</c:v>
                </c:pt>
                <c:pt idx="184">
                  <c:v>15000</c:v>
                </c:pt>
                <c:pt idx="185">
                  <c:v>30000</c:v>
                </c:pt>
                <c:pt idx="186">
                  <c:v>19000</c:v>
                </c:pt>
                <c:pt idx="187">
                  <c:v>17000</c:v>
                </c:pt>
                <c:pt idx="188">
                  <c:v>40000</c:v>
                </c:pt>
                <c:pt idx="189">
                  <c:v>15000</c:v>
                </c:pt>
                <c:pt idx="190">
                  <c:v>30000</c:v>
                </c:pt>
                <c:pt idx="191">
                  <c:v>16000</c:v>
                </c:pt>
                <c:pt idx="192">
                  <c:v>18000</c:v>
                </c:pt>
                <c:pt idx="193">
                  <c:v>35000</c:v>
                </c:pt>
                <c:pt idx="194">
                  <c:v>15000</c:v>
                </c:pt>
                <c:pt idx="195">
                  <c:v>30000</c:v>
                </c:pt>
                <c:pt idx="196">
                  <c:v>19000</c:v>
                </c:pt>
                <c:pt idx="197">
                  <c:v>17000</c:v>
                </c:pt>
                <c:pt idx="198">
                  <c:v>40000</c:v>
                </c:pt>
                <c:pt idx="199">
                  <c:v>15000</c:v>
                </c:pt>
                <c:pt idx="200">
                  <c:v>30000</c:v>
                </c:pt>
                <c:pt idx="201">
                  <c:v>16000</c:v>
                </c:pt>
                <c:pt idx="202">
                  <c:v>18000</c:v>
                </c:pt>
                <c:pt idx="203">
                  <c:v>32000</c:v>
                </c:pt>
                <c:pt idx="204">
                  <c:v>15000</c:v>
                </c:pt>
                <c:pt idx="205">
                  <c:v>30000</c:v>
                </c:pt>
                <c:pt idx="206">
                  <c:v>19000</c:v>
                </c:pt>
                <c:pt idx="207">
                  <c:v>17000</c:v>
                </c:pt>
                <c:pt idx="208">
                  <c:v>40000</c:v>
                </c:pt>
                <c:pt idx="209">
                  <c:v>15000</c:v>
                </c:pt>
                <c:pt idx="210">
                  <c:v>30000</c:v>
                </c:pt>
                <c:pt idx="211">
                  <c:v>16000</c:v>
                </c:pt>
                <c:pt idx="212">
                  <c:v>18000</c:v>
                </c:pt>
                <c:pt idx="213">
                  <c:v>32000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A-4084-B106-27660190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68368"/>
        <c:axId val="206670768"/>
      </c:scatterChart>
      <c:valAx>
        <c:axId val="20666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0768"/>
        <c:crosses val="autoZero"/>
        <c:crossBetween val="midCat"/>
      </c:valAx>
      <c:valAx>
        <c:axId val="2066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commission distribution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 and location '!$B$1</c:f>
              <c:strCache>
                <c:ptCount val="1"/>
                <c:pt idx="0">
                  <c:v>commission earned from sale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 and location '!$A$2:$A$8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'comm and location '!$B$2:$B$8</c:f>
              <c:numCache>
                <c:formatCode>General</c:formatCode>
                <c:ptCount val="7"/>
                <c:pt idx="0">
                  <c:v>0</c:v>
                </c:pt>
                <c:pt idx="1">
                  <c:v>1270000</c:v>
                </c:pt>
                <c:pt idx="2">
                  <c:v>160000</c:v>
                </c:pt>
                <c:pt idx="3">
                  <c:v>980000</c:v>
                </c:pt>
                <c:pt idx="4">
                  <c:v>630000</c:v>
                </c:pt>
                <c:pt idx="5">
                  <c:v>600000</c:v>
                </c:pt>
                <c:pt idx="6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1-4E94-9E97-BEA9639F76BD}"/>
            </c:ext>
          </c:extLst>
        </c:ser>
        <c:ser>
          <c:idx val="1"/>
          <c:order val="1"/>
          <c:tx>
            <c:strRef>
              <c:f>'comm and location '!$C$1</c:f>
              <c:strCache>
                <c:ptCount val="1"/>
                <c:pt idx="0">
                  <c:v>commission earned from rent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 and location '!$A$2:$A$8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'comm and location '!$C$2:$C$8</c:f>
              <c:numCache>
                <c:formatCode>General</c:formatCode>
                <c:ptCount val="7"/>
                <c:pt idx="0">
                  <c:v>1079000</c:v>
                </c:pt>
                <c:pt idx="1">
                  <c:v>909000</c:v>
                </c:pt>
                <c:pt idx="2">
                  <c:v>24000</c:v>
                </c:pt>
                <c:pt idx="3">
                  <c:v>555000</c:v>
                </c:pt>
                <c:pt idx="4">
                  <c:v>1207000</c:v>
                </c:pt>
                <c:pt idx="5">
                  <c:v>199000</c:v>
                </c:pt>
                <c:pt idx="6">
                  <c:v>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1-4E94-9E97-BEA9639F7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733840"/>
        <c:axId val="500718576"/>
      </c:barChart>
      <c:catAx>
        <c:axId val="3527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18576"/>
        <c:crosses val="autoZero"/>
        <c:auto val="1"/>
        <c:lblAlgn val="ctr"/>
        <c:lblOffset val="100"/>
        <c:noMultiLvlLbl val="0"/>
      </c:catAx>
      <c:valAx>
        <c:axId val="5007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3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commission</a:t>
            </a:r>
            <a:r>
              <a:rPr lang="en-IN" baseline="0"/>
              <a:t> earned percentage </a:t>
            </a:r>
            <a:endParaRPr lang="en-IN"/>
          </a:p>
        </c:rich>
      </c:tx>
      <c:layout>
        <c:manualLayout>
          <c:xMode val="edge"/>
          <c:yMode val="edge"/>
          <c:x val="0.2499930008748906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'comm and location '!$B$1</c:f>
              <c:strCache>
                <c:ptCount val="1"/>
                <c:pt idx="0">
                  <c:v>commission earned from sale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 and location '!$A$2:$A$8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'comm and location '!$B$2:$B$8</c:f>
              <c:numCache>
                <c:formatCode>General</c:formatCode>
                <c:ptCount val="7"/>
                <c:pt idx="0">
                  <c:v>0</c:v>
                </c:pt>
                <c:pt idx="1">
                  <c:v>1270000</c:v>
                </c:pt>
                <c:pt idx="2">
                  <c:v>160000</c:v>
                </c:pt>
                <c:pt idx="3">
                  <c:v>980000</c:v>
                </c:pt>
                <c:pt idx="4">
                  <c:v>630000</c:v>
                </c:pt>
                <c:pt idx="5">
                  <c:v>600000</c:v>
                </c:pt>
                <c:pt idx="6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6-4294-BDB6-81A72CE00F00}"/>
            </c:ext>
          </c:extLst>
        </c:ser>
        <c:ser>
          <c:idx val="1"/>
          <c:order val="1"/>
          <c:tx>
            <c:strRef>
              <c:f>'comm and location '!$C$1</c:f>
              <c:strCache>
                <c:ptCount val="1"/>
                <c:pt idx="0">
                  <c:v>commission earned from rent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 and location '!$A$2:$A$8</c:f>
              <c:strCache>
                <c:ptCount val="7"/>
                <c:pt idx="0">
                  <c:v>Azadpur</c:v>
                </c:pt>
                <c:pt idx="1">
                  <c:v>Indira Nagar</c:v>
                </c:pt>
                <c:pt idx="2">
                  <c:v>Kewal Park</c:v>
                </c:pt>
                <c:pt idx="3">
                  <c:v>Majlis Park</c:v>
                </c:pt>
                <c:pt idx="4">
                  <c:v>Model Town </c:v>
                </c:pt>
                <c:pt idx="5">
                  <c:v>Mukundpur</c:v>
                </c:pt>
                <c:pt idx="6">
                  <c:v>Aadarsh Nagar </c:v>
                </c:pt>
              </c:strCache>
            </c:strRef>
          </c:cat>
          <c:val>
            <c:numRef>
              <c:f>'comm and location '!$C$2:$C$8</c:f>
              <c:numCache>
                <c:formatCode>General</c:formatCode>
                <c:ptCount val="7"/>
                <c:pt idx="0">
                  <c:v>1079000</c:v>
                </c:pt>
                <c:pt idx="1">
                  <c:v>909000</c:v>
                </c:pt>
                <c:pt idx="2">
                  <c:v>24000</c:v>
                </c:pt>
                <c:pt idx="3">
                  <c:v>555000</c:v>
                </c:pt>
                <c:pt idx="4">
                  <c:v>1207000</c:v>
                </c:pt>
                <c:pt idx="5">
                  <c:v>199000</c:v>
                </c:pt>
                <c:pt idx="6">
                  <c:v>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6-4294-BDB6-81A72CE0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170480"/>
        <c:axId val="1065168080"/>
      </c:barChart>
      <c:catAx>
        <c:axId val="10651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68080"/>
        <c:crosses val="autoZero"/>
        <c:auto val="1"/>
        <c:lblAlgn val="ctr"/>
        <c:lblOffset val="100"/>
        <c:noMultiLvlLbl val="0"/>
      </c:catAx>
      <c:valAx>
        <c:axId val="106516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'comm and location '!$F$1</c:f>
              <c:strCache>
                <c:ptCount val="1"/>
                <c:pt idx="0">
                  <c:v>Net Profit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'comm and location '!$F$2:$F$8</c:f>
              <c:numCache>
                <c:formatCode>General</c:formatCode>
                <c:ptCount val="7"/>
                <c:pt idx="0">
                  <c:v>1075060</c:v>
                </c:pt>
                <c:pt idx="1">
                  <c:v>2173720</c:v>
                </c:pt>
                <c:pt idx="2">
                  <c:v>183520</c:v>
                </c:pt>
                <c:pt idx="3">
                  <c:v>1531660</c:v>
                </c:pt>
                <c:pt idx="4">
                  <c:v>1832100</c:v>
                </c:pt>
                <c:pt idx="5">
                  <c:v>797730</c:v>
                </c:pt>
                <c:pt idx="6">
                  <c:v>1245750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6-4E96-A375-5ABA175B1096}"/>
            </c:ext>
          </c:extLst>
        </c:ser>
        <c:ser>
          <c:idx val="1"/>
          <c:order val="1"/>
          <c:tx>
            <c:strRef>
              <c:f>'comm and location '!$G$1</c:f>
              <c:strCache>
                <c:ptCount val="1"/>
                <c:pt idx="0">
                  <c:v>location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'comm and location '!$G$2:$G$8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6-4E96-A375-5ABA175B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4438928"/>
        <c:axId val="31443748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'comm and location 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'comm and location '!$H$2:$H$8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B36-4E96-A375-5ABA175B1096}"/>
                  </c:ext>
                </c:extLst>
              </c15:ser>
            </c15:filteredBarSeries>
          </c:ext>
        </c:extLst>
      </c:barChart>
      <c:catAx>
        <c:axId val="31443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37488"/>
        <c:crosses val="autoZero"/>
        <c:auto val="1"/>
        <c:lblAlgn val="ctr"/>
        <c:lblOffset val="100"/>
        <c:noMultiLvlLbl val="0"/>
      </c:catAx>
      <c:valAx>
        <c:axId val="31443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3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  <cx:data id="3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location and count of deal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location and count of deal </a:t>
          </a:r>
        </a:p>
      </cx:txPr>
    </cx:title>
    <cx:plotArea>
      <cx:plotAreaRegion>
        <cx:series layoutId="clusteredColumn" uniqueId="{22CFF637-C399-427C-AFCB-A3AF06A90F3C}" formatIdx="0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D43A1A36-442D-4990-8DA1-627AF23D4450}" formatIdx="1">
          <cx:axisId val="2"/>
        </cx:series>
        <cx:series layoutId="clusteredColumn" hidden="1" uniqueId="{52BF62AA-9EFF-45DF-922B-2F53634940C2}" formatIdx="2"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B35A206B-34F0-4D18-9A1F-3B7FE005CA1A}" formatIdx="3">
          <cx:axisId val="2"/>
        </cx:series>
        <cx:series layoutId="clusteredColumn" hidden="1" uniqueId="{35440561-46E6-4434-9F49-515987BD3D5D}" formatIdx="4">
          <cx:dataLabels pos="inEnd">
            <cx:visibility seriesName="0" categoryName="0" value="1"/>
          </cx:dataLabels>
          <cx:dataId val="2"/>
          <cx:layoutPr>
            <cx:aggregation/>
          </cx:layoutPr>
          <cx:axisId val="1"/>
        </cx:series>
        <cx:series layoutId="paretoLine" ownerIdx="4" uniqueId="{5F3EA6E5-9558-472E-A93E-29F772D7B154}" formatIdx="5">
          <cx:axisId val="2"/>
        </cx:series>
        <cx:series layoutId="clusteredColumn" hidden="1" uniqueId="{06C30420-3D64-4CD8-BEDD-67B490FBDE32}" formatIdx="6">
          <cx:dataLabels pos="inEnd">
            <cx:visibility seriesName="0" categoryName="0" value="1"/>
          </cx:dataLabels>
          <cx:dataId val="3"/>
          <cx:layoutPr>
            <cx:aggregation/>
          </cx:layoutPr>
          <cx:axisId val="1"/>
        </cx:series>
        <cx:series layoutId="paretoLine" ownerIdx="6" uniqueId="{18B7D46B-8815-447E-94A9-8FC0E1A6F3D8}" formatIdx="7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client's age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client's age </a:t>
          </a:r>
        </a:p>
      </cx:txPr>
    </cx:title>
    <cx:plotArea>
      <cx:plotAreaRegion>
        <cx:series layoutId="clusteredColumn" uniqueId="{2E367476-2CFD-4BFD-9527-862242B9BF12}">
          <cx:tx>
            <cx:txData>
              <cx:f>_xlchart.v1.5</cx:f>
              <cx:v>Client's Age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microsoft.com/office/2014/relationships/chartEx" Target="../charts/chartEx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174625</xdr:colOff>
      <xdr:row>4</xdr:row>
      <xdr:rowOff>95250</xdr:rowOff>
    </xdr:from>
    <xdr:to>
      <xdr:col>10</xdr:col>
      <xdr:colOff>479425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B1134-DFF3-6DA0-335C-1FFAECBDD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174625</xdr:colOff>
      <xdr:row>4</xdr:row>
      <xdr:rowOff>95250</xdr:rowOff>
    </xdr:from>
    <xdr:to>
      <xdr:col>10</xdr:col>
      <xdr:colOff>479425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62D95-83D6-1303-09BF-0387186FE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517525</xdr:colOff>
      <xdr:row>1</xdr:row>
      <xdr:rowOff>127000</xdr:rowOff>
    </xdr:from>
    <xdr:to>
      <xdr:col>20</xdr:col>
      <xdr:colOff>212725</xdr:colOff>
      <xdr:row>16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7862B2-F5BD-DCE5-5B70-0F23704147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68925" y="349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473075</xdr:colOff>
      <xdr:row>17</xdr:row>
      <xdr:rowOff>6350</xdr:rowOff>
    </xdr:from>
    <xdr:to>
      <xdr:col>20</xdr:col>
      <xdr:colOff>168275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E10FE4-75C3-E392-6715-89DC1DCFC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428625</xdr:colOff>
      <xdr:row>1</xdr:row>
      <xdr:rowOff>165100</xdr:rowOff>
    </xdr:from>
    <xdr:to>
      <xdr:col>28</xdr:col>
      <xdr:colOff>123825</xdr:colOff>
      <xdr:row>16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18E2D1-83C2-2012-0639-5FFB39340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320675</xdr:colOff>
      <xdr:row>1</xdr:row>
      <xdr:rowOff>177800</xdr:rowOff>
    </xdr:from>
    <xdr:to>
      <xdr:col>36</xdr:col>
      <xdr:colOff>15875</xdr:colOff>
      <xdr:row>16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10A967-9719-F8E6-570B-FBACEB81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7</xdr:col>
      <xdr:colOff>434152</xdr:colOff>
      <xdr:row>15</xdr:row>
      <xdr:rowOff>22421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9007C-7D37-43E0-83F7-7009A0A2D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206375</xdr:colOff>
      <xdr:row>15</xdr:row>
      <xdr:rowOff>165100</xdr:rowOff>
    </xdr:from>
    <xdr:to>
      <xdr:col>7</xdr:col>
      <xdr:colOff>511175</xdr:colOff>
      <xdr:row>30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157484-A54A-24D7-5A37-043EE52CF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212725</xdr:colOff>
      <xdr:row>10</xdr:row>
      <xdr:rowOff>76200</xdr:rowOff>
    </xdr:from>
    <xdr:to>
      <xdr:col>11</xdr:col>
      <xdr:colOff>1393825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E5363-343B-811B-C482-33E607D68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1463675</xdr:colOff>
      <xdr:row>10</xdr:row>
      <xdr:rowOff>101600</xdr:rowOff>
    </xdr:from>
    <xdr:to>
      <xdr:col>15</xdr:col>
      <xdr:colOff>0</xdr:colOff>
      <xdr:row>24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7CA089-E16A-6B04-88E2-2E2F3265D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10</xdr:row>
      <xdr:rowOff>88900</xdr:rowOff>
    </xdr:from>
    <xdr:to>
      <xdr:col>20</xdr:col>
      <xdr:colOff>269875</xdr:colOff>
      <xdr:row>25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721EDA-DB69-3F70-C946-750EE65BB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1685925</xdr:colOff>
      <xdr:row>11</xdr:row>
      <xdr:rowOff>101600</xdr:rowOff>
    </xdr:from>
    <xdr:to>
      <xdr:col>15</xdr:col>
      <xdr:colOff>53975</xdr:colOff>
      <xdr:row>26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0A311A-8567-C3EA-6DA0-9A7C58C58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517525</xdr:colOff>
      <xdr:row>11</xdr:row>
      <xdr:rowOff>0</xdr:rowOff>
    </xdr:from>
    <xdr:to>
      <xdr:col>28</xdr:col>
      <xdr:colOff>212725</xdr:colOff>
      <xdr:row>25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8E7F6B-A6B8-6BC8-DE9D-0066D165F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314325</xdr:colOff>
      <xdr:row>0</xdr:row>
      <xdr:rowOff>107950</xdr:rowOff>
    </xdr:from>
    <xdr:to>
      <xdr:col>36</xdr:col>
      <xdr:colOff>9525</xdr:colOff>
      <xdr:row>15</xdr:row>
      <xdr:rowOff>88900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BCEE1C-1AC4-5F3B-6CE4-506B39554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307974</xdr:colOff>
      <xdr:row>1</xdr:row>
      <xdr:rowOff>95250</xdr:rowOff>
    </xdr:from>
    <xdr:to>
      <xdr:col>12</xdr:col>
      <xdr:colOff>558799</xdr:colOff>
      <xdr:row>17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F12D92-5C3A-5E45-7DB9-E2521CD10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0</xdr:row>
      <xdr:rowOff>25400</xdr:rowOff>
    </xdr:from>
    <xdr:to>
      <xdr:col>12</xdr:col>
      <xdr:colOff>212725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85EDA-8E3E-91D4-BBCE-C7C48180A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295275</xdr:colOff>
      <xdr:row>20</xdr:row>
      <xdr:rowOff>120650</xdr:rowOff>
    </xdr:from>
    <xdr:to>
      <xdr:col>8</xdr:col>
      <xdr:colOff>498475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5B2AFB-E2A9-203A-71A2-E84DE5BCD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12</xdr:row>
      <xdr:rowOff>69850</xdr:rowOff>
    </xdr:from>
    <xdr:to>
      <xdr:col>5</xdr:col>
      <xdr:colOff>73025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B5168-6634-497F-20D3-C1537B9E5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79374</xdr:colOff>
      <xdr:row>0</xdr:row>
      <xdr:rowOff>0</xdr:rowOff>
    </xdr:from>
    <xdr:to>
      <xdr:col>10</xdr:col>
      <xdr:colOff>19049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A79B9-2ADD-7498-E009-A7AA52DB9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244475</xdr:colOff>
      <xdr:row>18</xdr:row>
      <xdr:rowOff>177800</xdr:rowOff>
    </xdr:from>
    <xdr:to>
      <xdr:col>9</xdr:col>
      <xdr:colOff>549275</xdr:colOff>
      <xdr:row>33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2FDE2C-66C2-BDC8-1DC7-7020248BB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244475</xdr:colOff>
      <xdr:row>38</xdr:row>
      <xdr:rowOff>177800</xdr:rowOff>
    </xdr:from>
    <xdr:to>
      <xdr:col>9</xdr:col>
      <xdr:colOff>549275</xdr:colOff>
      <xdr:row>53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E24D9F-A179-8D2A-3B44-22D865F52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130175</xdr:colOff>
      <xdr:row>55</xdr:row>
      <xdr:rowOff>127000</xdr:rowOff>
    </xdr:from>
    <xdr:to>
      <xdr:col>10</xdr:col>
      <xdr:colOff>434975</xdr:colOff>
      <xdr:row>70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6C7D7A-0448-5483-068F-5C0EA8B17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0</xdr:row>
      <xdr:rowOff>95250</xdr:rowOff>
    </xdr:from>
    <xdr:to>
      <xdr:col>11</xdr:col>
      <xdr:colOff>238125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FD9FA93-17DE-64A4-EAFD-C45E0E1FCD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2525" y="95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384175</xdr:colOff>
      <xdr:row>16</xdr:row>
      <xdr:rowOff>152400</xdr:rowOff>
    </xdr:from>
    <xdr:to>
      <xdr:col>10</xdr:col>
      <xdr:colOff>79375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E7D948-CC35-B3A6-6F16-95CA26D9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9</xdr:row>
      <xdr:rowOff>127000</xdr:rowOff>
    </xdr:from>
    <xdr:to>
      <xdr:col>11</xdr:col>
      <xdr:colOff>339725</xdr:colOff>
      <xdr:row>24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8B79E-5520-0625-AE41-0506B50F7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9</xdr:row>
      <xdr:rowOff>50800</xdr:rowOff>
    </xdr:from>
    <xdr:to>
      <xdr:col>3</xdr:col>
      <xdr:colOff>168275</xdr:colOff>
      <xdr:row>24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D57C1-4F46-05FF-F1CC-1A9E8883A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123825</xdr:colOff>
      <xdr:row>0</xdr:row>
      <xdr:rowOff>177800</xdr:rowOff>
    </xdr:from>
    <xdr:to>
      <xdr:col>20</xdr:col>
      <xdr:colOff>428625</xdr:colOff>
      <xdr:row>15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DA627-9DE1-A882-C722-EF691945B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57A9BE-0C82-4016-A623-B3EDCE0E2B6B}" name="Table14" displayName="Table14" ref="A1:C7" totalsRowShown="0">
  <autoFilter ref="A1:C7" xr:uid="{C957A9BE-0C82-4016-A623-B3EDCE0E2B6B}"/>
  <tableColumns count="3">
    <tableColumn id="1" xr3:uid="{BC283507-20B8-4940-895A-F948A14D7565}" name="area"/>
    <tableColumn id="2" xr3:uid="{099164E2-260F-4738-B8EF-46EA2DBCFB6B}" name="ratings "/>
    <tableColumn id="3" xr3:uid="{F7D3AE6D-C9CA-4022-9975-6BE6ABB1836B}" name="total number of agents lis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C7130-3BD9-495F-8799-EE8A6817BE4E}" name="Table1" displayName="Table1" ref="D2:J11" totalsRowShown="0">
  <autoFilter ref="D2:J11" xr:uid="{0FCC7130-3BD9-495F-8799-EE8A6817BE4E}"/>
  <tableColumns count="7">
    <tableColumn id="1" xr3:uid="{547F5AF4-866A-466C-A770-2E043F09B943}" name=" Location "/>
    <tableColumn id="2" xr3:uid="{C7142218-C806-4BEB-BA70-9E1961E53FB5}" name="Count "/>
    <tableColumn id="3" xr3:uid="{7BF0B350-D4E9-4D1D-B605-3E6339BCF9E6}" name="Amount of deals " dataDxfId="18"/>
    <tableColumn id="4" xr3:uid="{A22B1CFF-15B6-4368-B5CD-CF0BD37E17D6}" name="commission earned from from location from seller " dataDxfId="17"/>
    <tableColumn id="5" xr3:uid="{E2118A61-57ED-4571-A065-5D6D20BE0DFA}" name="commission earned from from location from buyer" dataDxfId="16"/>
    <tableColumn id="6" xr3:uid="{5A87BB30-F39D-4A96-8685-D6499807224A}" name="Column1" dataDxfId="15"/>
    <tableColumn id="7" xr3:uid="{4893D907-3469-4745-89FE-528CE1ED0CF6}" name="type of deal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8BD6CC-2456-48AD-9480-C81609790CC7}" name="Table12" displayName="Table12" ref="D13:L22" totalsRowShown="0">
  <autoFilter ref="D13:L22" xr:uid="{0C8BD6CC-2456-48AD-9480-C81609790CC7}"/>
  <tableColumns count="9">
    <tableColumn id="1" xr3:uid="{81A2D073-B3FA-4AE3-BE33-0CB57B8E7C65}" name="location "/>
    <tableColumn id="2" xr3:uid="{F2267133-7B26-44E0-848D-DA0593B00982}" name="sale "/>
    <tableColumn id="3" xr3:uid="{F65C21AC-C7EA-4B3E-A000-FDA4EE240FB1}" name="rent" dataDxfId="13"/>
    <tableColumn id="4" xr3:uid="{72533D5A-C141-46D8-8A2A-97794DBFB9FD}" name="commission earned from sale " dataDxfId="12">
      <calculatedColumnFormula>539500+539500</calculatedColumnFormula>
    </tableColumn>
    <tableColumn id="5" xr3:uid="{3B555B00-2E0B-4F59-8B1E-EC505983D073}" name="commission earned from rent " dataDxfId="11">
      <calculatedColumnFormula>539500+539500</calculatedColumnFormula>
    </tableColumn>
    <tableColumn id="6" xr3:uid="{C257A66F-80F9-413F-A8F9-A6DA09F36604}" name="expenses incured "/>
    <tableColumn id="7" xr3:uid="{F0566862-075E-4A8E-8ADB-52C3BE82CA86}" name="amount of deal"/>
    <tableColumn id="8" xr3:uid="{2B28F9DB-316E-4385-AFCF-65A64EAFB55B}" name="Total commission earned " dataDxfId="10">
      <calculatedColumnFormula>Table12[[#This Row],[commission earned from rent ]]+Table12[[#This Row],[commission earned from sale ]]</calculatedColumnFormula>
    </tableColumn>
    <tableColumn id="9" xr3:uid="{EA1CDE91-DD54-4D25-B3DD-803FA24008D1}" name="Net Profit " dataDxfId="9">
      <calculatedColumnFormula>Table12[[#This Row],[Total commission earned ]]-Table12[[#This Row],[expenses incured 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FFC1FD-E664-4E9D-9D0A-601C369C82E2}" name="Table13" displayName="Table13" ref="C13:C22" totalsRowShown="0">
  <autoFilter ref="C13:C22" xr:uid="{A1FFC1FD-E664-4E9D-9D0A-601C369C82E2}"/>
  <tableColumns count="1">
    <tableColumn id="1" xr3:uid="{848C226F-D182-4C4F-B4D1-2FF6454F5D75}" name="count of flat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A803B1-0AC2-41AD-A557-B8D5153AFFE7}" name="Table3" displayName="Table3" ref="B13:B22" totalsRowShown="0">
  <autoFilter ref="B13:B22" xr:uid="{7FA803B1-0AC2-41AD-A557-B8D5153AFFE7}"/>
  <tableColumns count="1">
    <tableColumn id="1" xr3:uid="{14730DD4-8C07-40EC-9690-EDD2C64D6721}" name="count of sho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58A6DC-D97C-4A72-AA90-27DCE0C4E9AA}" name="Table11" displayName="Table11" ref="A13:A22" totalsRowShown="0">
  <autoFilter ref="A13:A22" xr:uid="{EA58A6DC-D97C-4A72-AA90-27DCE0C4E9AA}"/>
  <tableColumns count="1">
    <tableColumn id="1" xr3:uid="{3DE56E78-0EE2-467B-9148-F1E6CF0F4C68}" name="count of plot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23DB69-CE46-47E6-A428-2C4608D9A9E3}" name="Table15" displayName="Table15" ref="N1:Q9" totalsRowShown="0" tableBorderDxfId="8">
  <autoFilter ref="N1:Q9" xr:uid="{BE23DB69-CE46-47E6-A428-2C4608D9A9E3}"/>
  <tableColumns count="4">
    <tableColumn id="1" xr3:uid="{8F0036DA-9A76-41DB-8067-84A84BF409C0}" name="Column1"/>
    <tableColumn id="2" xr3:uid="{247495D0-7220-4779-AC70-4FF2039D1C46}" name="Column2" dataDxfId="7"/>
    <tableColumn id="6" xr3:uid="{FA0120ED-2EA7-4770-93ED-6C48A5AA9EB3}" name="Column6" dataDxfId="6"/>
    <tableColumn id="9" xr3:uid="{F0942583-1095-42F8-BB3A-A3A5FC2C2BCC}" name="Column9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2A5502-D4F4-4B5A-8ADD-8DCD2F53DA11}" name="Table2" displayName="Table2" ref="A1:E4" totalsRowShown="0">
  <autoFilter ref="A1:E4" xr:uid="{842A5502-D4F4-4B5A-8ADD-8DCD2F53DA11}"/>
  <tableColumns count="5">
    <tableColumn id="1" xr3:uid="{A8450094-11EA-48AF-97A6-E683B9087FFB}" name="Deal Type "/>
    <tableColumn id="2" xr3:uid="{369E215E-F8F3-4C30-A4BC-CABADB2D40F0}" name="total sum " dataDxfId="4"/>
    <tableColumn id="3" xr3:uid="{169EA1BC-8A45-4EEE-92DA-A257B2FC9173}" name="Total commission earned from seller" dataDxfId="3"/>
    <tableColumn id="4" xr3:uid="{DDBE3076-3518-4FF1-8D5E-326656A24377}" name="Total commission earned from buyer" dataDxfId="2"/>
    <tableColumn id="5" xr3:uid="{1C02C395-B1FE-44DF-9A3B-CC333D0F6046}" name="no of deals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23F05A-2FD5-425F-9A0A-0CA1F117092B}" name="Table4" displayName="Table4" ref="A1:C5" totalsRowShown="0">
  <autoFilter ref="A1:C5" xr:uid="{E723F05A-2FD5-425F-9A0A-0CA1F117092B}"/>
  <tableColumns count="3">
    <tableColumn id="1" xr3:uid="{0D8303AB-8EA0-4D12-9F23-ACABD40CC5CB}" name="Property Type "/>
    <tableColumn id="2" xr3:uid="{4C0A098E-0DE5-42EF-AA40-A3F1E64D887C}" name="Frequency Distribution "/>
    <tableColumn id="3" xr3:uid="{273C90CE-3CCA-40D2-B2B1-28FEA232242A}" name="Relative Frequency" dataDxfId="1">
      <calculatedColumnFormula>Table4[[#This Row],[Frequency Distribution ]]/B3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DE4A02-417A-408B-A33D-ED25C78B77EF}" name="Table8" displayName="Table8" ref="A22:B25" totalsRowShown="0">
  <autoFilter ref="A22:B25" xr:uid="{A3DE4A02-417A-408B-A33D-ED25C78B77EF}"/>
  <tableColumns count="2">
    <tableColumn id="1" xr3:uid="{6402758F-E423-441E-A935-986A283139AF}" name="Lead source"/>
    <tableColumn id="2" xr3:uid="{FEA62E5D-20E4-4771-B211-41ED5C967176}" name="count of lead 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B32EB-D5E5-4A99-B132-17A8A90EF260}" name="Table9" displayName="Table9" ref="A1:F5" totalsRowShown="0">
  <autoFilter ref="A1:F5" xr:uid="{D32B32EB-D5E5-4A99-B132-17A8A90EF260}"/>
  <tableColumns count="6">
    <tableColumn id="1" xr3:uid="{D2A98C26-3E4D-4E1C-B62D-3D3BFC37E6E4}" name="variable"/>
    <tableColumn id="2" xr3:uid="{187E5101-5947-4ED5-819A-F829A9A149C9}" name="Average"/>
    <tableColumn id="3" xr3:uid="{215BD183-65F3-4A28-82A1-ECA6AD40C0BD}" name="Total sum"/>
    <tableColumn id="4" xr3:uid="{C6345EC4-C948-40BF-9F0F-98347111D9D9}" name="mode"/>
    <tableColumn id="5" xr3:uid="{C27E9117-B841-47DC-B4D3-C1FDD8DBED39}" name="median "/>
    <tableColumn id="8" xr3:uid="{A34ADF5C-FF0A-44B1-A684-3AD2918281B6}" name="std dev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3619CB-CF50-47BF-A96C-08D3B4A4C8B0}" name="Table5" displayName="Table5" ref="A1:B4" totalsRowShown="0">
  <autoFilter ref="A1:B4" xr:uid="{473619CB-CF50-47BF-A96C-08D3B4A4C8B0}"/>
  <tableColumns count="2">
    <tableColumn id="1" xr3:uid="{7817DDAF-A0A9-422E-A5CC-03C7DBAE8154}" name="Type Of Deal"/>
    <tableColumn id="2" xr3:uid="{1DAC452C-038E-4963-A50D-F07828269D63}" name="C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84D59C-7D3B-4E9B-BA77-F86102D2A106}" name="Table6" displayName="Table6" ref="A20:B28" totalsRowShown="0">
  <autoFilter ref="A20:B28" xr:uid="{5884D59C-7D3B-4E9B-BA77-F86102D2A106}"/>
  <tableColumns count="2">
    <tableColumn id="1" xr3:uid="{606033EF-887B-44BD-ADD4-8B7354924E61}" name="Location"/>
    <tableColumn id="2" xr3:uid="{32EE5DB7-2EF1-47F8-A014-3C9B4756765E}" name="count of loc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D55F5D-D42F-4867-B29F-F5610B478907}" name="Table7" displayName="Table7" ref="A40:B43" totalsRowShown="0">
  <autoFilter ref="A40:B43" xr:uid="{38D55F5D-D42F-4867-B29F-F5610B478907}"/>
  <tableColumns count="2">
    <tableColumn id="1" xr3:uid="{B385950B-5750-4972-84A2-B9252BB3B5BF}" name="Purpose of deal"/>
    <tableColumn id="2" xr3:uid="{9FD46630-92B6-473C-8FEC-97944DB5F1E6}" name="cou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25C0B3-8233-4ABE-9478-61C98AAB2BE0}" name="Table10" displayName="Table10" ref="A57:C60" totalsRowShown="0">
  <autoFilter ref="A57:C60" xr:uid="{9025C0B3-8233-4ABE-9478-61C98AAB2BE0}"/>
  <tableColumns count="3">
    <tableColumn id="1" xr3:uid="{46C63D4D-7082-4FBD-877D-D3F93DDF35CD}" name="Gender"/>
    <tableColumn id="2" xr3:uid="{278A00A3-A272-4A17-B1B1-3CD0E53AD571}" name="count"/>
    <tableColumn id="3" xr3:uid="{D6C8E534-579F-4CDF-B133-F062AAADDDB7}" name="Relative Frequency" dataDxfId="0">
      <calculatedColumnFormula>106/214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7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F732-66B4-4621-9EBD-5C13A0FE5FCE}">
  <sheetPr filterMode="1"/>
  <dimension ref="A1:M226"/>
  <sheetViews>
    <sheetView zoomScale="96" zoomScaleNormal="96" workbookViewId="0">
      <selection activeCell="C129" sqref="C129"/>
    </sheetView>
  </sheetViews>
  <sheetFormatPr defaultRowHeight="14.5" x14ac:dyDescent="0.35"/>
  <cols>
    <col min="2" max="2" width="17.1796875" bestFit="1" customWidth="1"/>
    <col min="3" max="3" width="9" bestFit="1" customWidth="1"/>
    <col min="4" max="4" width="23.81640625" customWidth="1"/>
    <col min="5" max="5" width="15.81640625" bestFit="1" customWidth="1"/>
    <col min="6" max="6" width="22.54296875" bestFit="1" customWidth="1"/>
    <col min="7" max="7" width="18.1796875" bestFit="1" customWidth="1"/>
    <col min="8" max="8" width="27.26953125" bestFit="1" customWidth="1"/>
    <col min="9" max="9" width="27.54296875" bestFit="1" customWidth="1"/>
    <col min="10" max="10" width="12.26953125" bestFit="1" customWidth="1"/>
    <col min="11" max="11" width="13.81640625" bestFit="1" customWidth="1"/>
    <col min="12" max="12" width="30.81640625" bestFit="1" customWidth="1"/>
    <col min="13" max="13" width="20" bestFit="1" customWidth="1"/>
  </cols>
  <sheetData>
    <row r="1" spans="1:13" ht="2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10000000</v>
      </c>
      <c r="G2" s="2" t="s">
        <v>17</v>
      </c>
      <c r="H2" s="3"/>
      <c r="I2" s="3">
        <v>100000</v>
      </c>
      <c r="J2" s="2" t="s">
        <v>18</v>
      </c>
      <c r="K2" s="2">
        <v>45</v>
      </c>
      <c r="L2" s="2">
        <v>1</v>
      </c>
      <c r="M2" s="3">
        <f>100*10</f>
        <v>1000</v>
      </c>
    </row>
    <row r="3" spans="1:13" x14ac:dyDescent="0.35">
      <c r="A3">
        <v>2</v>
      </c>
      <c r="B3" s="2" t="s">
        <v>19</v>
      </c>
      <c r="C3" s="2" t="s">
        <v>14</v>
      </c>
      <c r="D3" s="2" t="s">
        <v>20</v>
      </c>
      <c r="E3" s="2" t="s">
        <v>21</v>
      </c>
      <c r="F3" s="3">
        <v>3500000</v>
      </c>
      <c r="G3" s="2" t="s">
        <v>17</v>
      </c>
      <c r="H3" s="3">
        <v>35000</v>
      </c>
      <c r="I3" s="3">
        <v>35000</v>
      </c>
      <c r="J3" s="2" t="s">
        <v>22</v>
      </c>
      <c r="K3" s="2">
        <v>55</v>
      </c>
      <c r="L3" s="2">
        <v>1</v>
      </c>
      <c r="M3" s="3">
        <f>150*10</f>
        <v>1500</v>
      </c>
    </row>
    <row r="4" spans="1:13" hidden="1" x14ac:dyDescent="0.35">
      <c r="A4">
        <v>3</v>
      </c>
      <c r="B4" s="2" t="s">
        <v>23</v>
      </c>
      <c r="C4" s="2" t="s">
        <v>14</v>
      </c>
      <c r="D4" s="2" t="s">
        <v>24</v>
      </c>
      <c r="E4" s="2" t="s">
        <v>16</v>
      </c>
      <c r="F4" s="3">
        <v>20000000</v>
      </c>
      <c r="G4" s="2" t="s">
        <v>25</v>
      </c>
      <c r="H4" s="3">
        <v>200000</v>
      </c>
      <c r="I4" s="3">
        <v>0</v>
      </c>
      <c r="J4" s="2" t="s">
        <v>18</v>
      </c>
      <c r="K4" s="2">
        <v>60</v>
      </c>
      <c r="L4" s="2">
        <v>2</v>
      </c>
      <c r="M4" s="6">
        <f>200*10</f>
        <v>2000</v>
      </c>
    </row>
    <row r="5" spans="1:13" hidden="1" x14ac:dyDescent="0.35">
      <c r="A5">
        <v>4</v>
      </c>
      <c r="B5" s="2" t="s">
        <v>13</v>
      </c>
      <c r="C5" s="2" t="s">
        <v>14</v>
      </c>
      <c r="D5" s="2" t="s">
        <v>26</v>
      </c>
      <c r="E5" s="2" t="s">
        <v>16</v>
      </c>
      <c r="F5" s="3">
        <v>15000000</v>
      </c>
      <c r="G5" s="2" t="s">
        <v>17</v>
      </c>
      <c r="H5" s="3">
        <v>150000</v>
      </c>
      <c r="I5" s="3">
        <v>150000</v>
      </c>
      <c r="J5" s="2" t="s">
        <v>22</v>
      </c>
      <c r="K5" s="2">
        <v>50</v>
      </c>
      <c r="L5" s="2">
        <v>1</v>
      </c>
      <c r="M5" s="3">
        <v>2500</v>
      </c>
    </row>
    <row r="6" spans="1:13" hidden="1" x14ac:dyDescent="0.35">
      <c r="A6">
        <v>5</v>
      </c>
      <c r="B6" s="2" t="s">
        <v>13</v>
      </c>
      <c r="C6" s="2" t="s">
        <v>27</v>
      </c>
      <c r="D6" s="2" t="s">
        <v>15</v>
      </c>
      <c r="E6" s="2" t="s">
        <v>16</v>
      </c>
      <c r="F6" s="3">
        <v>15000</v>
      </c>
      <c r="G6" s="2" t="s">
        <v>25</v>
      </c>
      <c r="H6" s="3">
        <v>7500</v>
      </c>
      <c r="I6" s="3">
        <v>7500</v>
      </c>
      <c r="J6" s="2" t="s">
        <v>18</v>
      </c>
      <c r="K6" s="2">
        <v>35</v>
      </c>
      <c r="L6" s="2">
        <v>1</v>
      </c>
      <c r="M6" s="3">
        <v>1000</v>
      </c>
    </row>
    <row r="7" spans="1:13" hidden="1" x14ac:dyDescent="0.35">
      <c r="A7">
        <v>6</v>
      </c>
      <c r="B7" s="2" t="s">
        <v>19</v>
      </c>
      <c r="C7" s="2" t="s">
        <v>27</v>
      </c>
      <c r="D7" s="2" t="s">
        <v>28</v>
      </c>
      <c r="E7" s="2" t="s">
        <v>21</v>
      </c>
      <c r="F7" s="3">
        <v>30000</v>
      </c>
      <c r="G7" s="2" t="s">
        <v>25</v>
      </c>
      <c r="H7" s="3">
        <v>15000</v>
      </c>
      <c r="I7" s="3">
        <v>15000</v>
      </c>
      <c r="J7" s="2" t="s">
        <v>22</v>
      </c>
      <c r="K7" s="2">
        <v>42</v>
      </c>
      <c r="L7" s="2">
        <v>1</v>
      </c>
      <c r="M7" s="3">
        <v>1200</v>
      </c>
    </row>
    <row r="8" spans="1:13" x14ac:dyDescent="0.35">
      <c r="A8">
        <v>7</v>
      </c>
      <c r="B8" s="2" t="s">
        <v>13</v>
      </c>
      <c r="C8" s="2" t="s">
        <v>27</v>
      </c>
      <c r="D8" s="2" t="s">
        <v>20</v>
      </c>
      <c r="E8" s="2" t="s">
        <v>16</v>
      </c>
      <c r="F8" s="3">
        <v>18000</v>
      </c>
      <c r="G8" s="2" t="s">
        <v>17</v>
      </c>
      <c r="H8" s="3">
        <v>9000</v>
      </c>
      <c r="I8" s="3">
        <v>9000</v>
      </c>
      <c r="J8" s="2" t="s">
        <v>18</v>
      </c>
      <c r="K8" s="2">
        <v>28</v>
      </c>
      <c r="L8" s="2">
        <v>1</v>
      </c>
      <c r="M8" s="3">
        <v>900</v>
      </c>
    </row>
    <row r="9" spans="1:13" hidden="1" x14ac:dyDescent="0.35">
      <c r="A9">
        <v>8</v>
      </c>
      <c r="B9" s="2" t="s">
        <v>19</v>
      </c>
      <c r="C9" s="2" t="s">
        <v>27</v>
      </c>
      <c r="D9" s="2" t="s">
        <v>24</v>
      </c>
      <c r="E9" s="2" t="s">
        <v>21</v>
      </c>
      <c r="F9" s="3">
        <v>40000</v>
      </c>
      <c r="G9" s="2" t="s">
        <v>25</v>
      </c>
      <c r="H9" s="3">
        <v>20000</v>
      </c>
      <c r="I9" s="3">
        <v>20000</v>
      </c>
      <c r="J9" s="2" t="s">
        <v>22</v>
      </c>
      <c r="K9" s="2">
        <v>50</v>
      </c>
      <c r="L9" s="2">
        <v>1</v>
      </c>
      <c r="M9" s="3">
        <v>1500</v>
      </c>
    </row>
    <row r="10" spans="1:13" hidden="1" x14ac:dyDescent="0.35">
      <c r="A10">
        <v>9</v>
      </c>
      <c r="B10" s="2" t="s">
        <v>13</v>
      </c>
      <c r="C10" s="2" t="s">
        <v>27</v>
      </c>
      <c r="D10" s="2" t="s">
        <v>26</v>
      </c>
      <c r="E10" s="2" t="s">
        <v>16</v>
      </c>
      <c r="F10" s="3">
        <v>16000</v>
      </c>
      <c r="G10" s="2" t="s">
        <v>17</v>
      </c>
      <c r="H10" s="3">
        <v>8000</v>
      </c>
      <c r="I10" s="3">
        <v>8000</v>
      </c>
      <c r="J10" s="2" t="s">
        <v>18</v>
      </c>
      <c r="K10" s="2">
        <v>38</v>
      </c>
      <c r="L10" s="2">
        <v>1</v>
      </c>
      <c r="M10" s="3">
        <v>950</v>
      </c>
    </row>
    <row r="11" spans="1:13" hidden="1" x14ac:dyDescent="0.35">
      <c r="A11">
        <v>10</v>
      </c>
      <c r="B11" s="2" t="s">
        <v>13</v>
      </c>
      <c r="C11" s="2" t="s">
        <v>27</v>
      </c>
      <c r="D11" s="2" t="s">
        <v>29</v>
      </c>
      <c r="E11" s="2" t="s">
        <v>16</v>
      </c>
      <c r="F11" s="3">
        <v>12000</v>
      </c>
      <c r="G11" s="2" t="s">
        <v>25</v>
      </c>
      <c r="H11" s="3">
        <v>6000</v>
      </c>
      <c r="I11" s="3">
        <v>6000</v>
      </c>
      <c r="J11" s="2" t="s">
        <v>22</v>
      </c>
      <c r="K11" s="2">
        <v>30</v>
      </c>
      <c r="L11" s="2">
        <v>1</v>
      </c>
      <c r="M11" s="3">
        <v>800</v>
      </c>
    </row>
    <row r="12" spans="1:13" hidden="1" x14ac:dyDescent="0.35">
      <c r="A12">
        <v>11</v>
      </c>
      <c r="B12" s="2" t="s">
        <v>19</v>
      </c>
      <c r="C12" s="2" t="s">
        <v>27</v>
      </c>
      <c r="D12" s="2" t="s">
        <v>15</v>
      </c>
      <c r="E12" s="2" t="s">
        <v>21</v>
      </c>
      <c r="F12" s="3">
        <v>35000</v>
      </c>
      <c r="G12" s="2" t="s">
        <v>17</v>
      </c>
      <c r="H12" s="3">
        <v>17500</v>
      </c>
      <c r="I12" s="3">
        <v>17500</v>
      </c>
      <c r="J12" s="2" t="s">
        <v>18</v>
      </c>
      <c r="K12" s="2">
        <v>55</v>
      </c>
      <c r="L12" s="2">
        <v>1</v>
      </c>
      <c r="M12" s="3">
        <v>1100</v>
      </c>
    </row>
    <row r="13" spans="1:13" hidden="1" x14ac:dyDescent="0.35">
      <c r="A13">
        <v>12</v>
      </c>
      <c r="B13" s="2" t="s">
        <v>13</v>
      </c>
      <c r="C13" s="2" t="s">
        <v>27</v>
      </c>
      <c r="D13" s="2" t="s">
        <v>30</v>
      </c>
      <c r="E13" s="2" t="s">
        <v>16</v>
      </c>
      <c r="F13" s="3">
        <v>14000</v>
      </c>
      <c r="G13" s="2" t="s">
        <v>25</v>
      </c>
      <c r="H13" s="3">
        <v>7000</v>
      </c>
      <c r="I13" s="3">
        <v>7000</v>
      </c>
      <c r="J13" s="2" t="s">
        <v>22</v>
      </c>
      <c r="K13" s="2">
        <v>40</v>
      </c>
      <c r="L13" s="2">
        <v>1</v>
      </c>
      <c r="M13" s="3">
        <v>850</v>
      </c>
    </row>
    <row r="14" spans="1:13" x14ac:dyDescent="0.35">
      <c r="A14">
        <v>13</v>
      </c>
      <c r="B14" s="2" t="s">
        <v>19</v>
      </c>
      <c r="C14" s="2" t="s">
        <v>27</v>
      </c>
      <c r="D14" s="2" t="s">
        <v>20</v>
      </c>
      <c r="E14" s="2" t="s">
        <v>21</v>
      </c>
      <c r="F14" s="3">
        <v>32000</v>
      </c>
      <c r="G14" s="2" t="s">
        <v>25</v>
      </c>
      <c r="H14" s="3">
        <v>16000</v>
      </c>
      <c r="I14" s="3">
        <v>16000</v>
      </c>
      <c r="J14" s="2" t="s">
        <v>18</v>
      </c>
      <c r="K14" s="2">
        <v>50</v>
      </c>
      <c r="L14" s="2">
        <v>1</v>
      </c>
      <c r="M14" s="3">
        <v>900</v>
      </c>
    </row>
    <row r="15" spans="1:13" hidden="1" x14ac:dyDescent="0.35">
      <c r="A15">
        <v>14</v>
      </c>
      <c r="B15" s="2" t="s">
        <v>13</v>
      </c>
      <c r="C15" s="2" t="s">
        <v>27</v>
      </c>
      <c r="D15" s="2" t="s">
        <v>24</v>
      </c>
      <c r="E15" s="2" t="s">
        <v>16</v>
      </c>
      <c r="F15" s="3">
        <v>20000</v>
      </c>
      <c r="G15" s="2" t="s">
        <v>17</v>
      </c>
      <c r="H15" s="3">
        <v>10000</v>
      </c>
      <c r="I15" s="3">
        <v>10000</v>
      </c>
      <c r="J15" s="2" t="s">
        <v>22</v>
      </c>
      <c r="K15" s="2">
        <v>35</v>
      </c>
      <c r="L15" s="2">
        <v>1</v>
      </c>
      <c r="M15" s="3">
        <v>1200</v>
      </c>
    </row>
    <row r="16" spans="1:13" hidden="1" x14ac:dyDescent="0.35">
      <c r="A16">
        <v>15</v>
      </c>
      <c r="B16" s="2" t="s">
        <v>13</v>
      </c>
      <c r="C16" s="2" t="s">
        <v>27</v>
      </c>
      <c r="D16" s="2" t="s">
        <v>28</v>
      </c>
      <c r="E16" s="2" t="s">
        <v>16</v>
      </c>
      <c r="F16" s="3">
        <v>17000</v>
      </c>
      <c r="G16" s="2" t="s">
        <v>25</v>
      </c>
      <c r="H16" s="3">
        <v>8500</v>
      </c>
      <c r="I16" s="3">
        <v>8500</v>
      </c>
      <c r="J16" s="2" t="s">
        <v>18</v>
      </c>
      <c r="K16" s="2">
        <v>32</v>
      </c>
      <c r="L16" s="2">
        <v>1</v>
      </c>
      <c r="M16" s="3">
        <v>1000</v>
      </c>
    </row>
    <row r="17" spans="1:13" hidden="1" x14ac:dyDescent="0.35">
      <c r="A17">
        <v>16</v>
      </c>
      <c r="B17" s="2" t="s">
        <v>19</v>
      </c>
      <c r="C17" s="2" t="s">
        <v>27</v>
      </c>
      <c r="D17" s="2" t="s">
        <v>26</v>
      </c>
      <c r="E17" s="2" t="s">
        <v>21</v>
      </c>
      <c r="F17" s="3">
        <v>38000</v>
      </c>
      <c r="G17" s="2" t="s">
        <v>17</v>
      </c>
      <c r="H17" s="3">
        <v>19000</v>
      </c>
      <c r="I17" s="3">
        <v>19000</v>
      </c>
      <c r="J17" s="2" t="s">
        <v>22</v>
      </c>
      <c r="K17" s="2">
        <v>48</v>
      </c>
      <c r="L17" s="2">
        <v>1</v>
      </c>
      <c r="M17" s="3">
        <v>1400</v>
      </c>
    </row>
    <row r="18" spans="1:13" hidden="1" x14ac:dyDescent="0.35">
      <c r="A18">
        <v>17</v>
      </c>
      <c r="B18" s="2" t="s">
        <v>13</v>
      </c>
      <c r="C18" s="2" t="s">
        <v>27</v>
      </c>
      <c r="D18" s="2" t="s">
        <v>15</v>
      </c>
      <c r="E18" s="2" t="s">
        <v>16</v>
      </c>
      <c r="F18" s="3">
        <v>15000</v>
      </c>
      <c r="G18" s="2" t="s">
        <v>25</v>
      </c>
      <c r="H18" s="3">
        <v>7500</v>
      </c>
      <c r="I18" s="3">
        <v>7500</v>
      </c>
      <c r="J18" s="2" t="s">
        <v>18</v>
      </c>
      <c r="K18" s="2">
        <v>45</v>
      </c>
      <c r="L18" s="2">
        <v>1</v>
      </c>
      <c r="M18" s="3">
        <v>1300</v>
      </c>
    </row>
    <row r="19" spans="1:13" hidden="1" x14ac:dyDescent="0.35">
      <c r="A19">
        <v>18</v>
      </c>
      <c r="B19" s="2" t="s">
        <v>19</v>
      </c>
      <c r="C19" s="2" t="s">
        <v>27</v>
      </c>
      <c r="D19" s="2" t="s">
        <v>28</v>
      </c>
      <c r="E19" s="2" t="s">
        <v>21</v>
      </c>
      <c r="F19" s="3">
        <v>30000</v>
      </c>
      <c r="G19" s="2" t="s">
        <v>17</v>
      </c>
      <c r="H19" s="3">
        <v>15000</v>
      </c>
      <c r="I19" s="3">
        <v>15000</v>
      </c>
      <c r="J19" s="2" t="s">
        <v>22</v>
      </c>
      <c r="K19" s="2">
        <v>52</v>
      </c>
      <c r="L19" s="2">
        <v>1</v>
      </c>
      <c r="M19" s="3">
        <v>1500</v>
      </c>
    </row>
    <row r="20" spans="1:13" x14ac:dyDescent="0.35">
      <c r="A20">
        <v>19</v>
      </c>
      <c r="B20" s="2" t="s">
        <v>13</v>
      </c>
      <c r="C20" s="2" t="s">
        <v>27</v>
      </c>
      <c r="D20" s="2" t="s">
        <v>20</v>
      </c>
      <c r="E20" s="2" t="s">
        <v>16</v>
      </c>
      <c r="F20" s="3">
        <v>16000</v>
      </c>
      <c r="G20" s="2" t="s">
        <v>25</v>
      </c>
      <c r="H20" s="3">
        <v>8000</v>
      </c>
      <c r="I20" s="3">
        <v>8000</v>
      </c>
      <c r="J20" s="2" t="s">
        <v>18</v>
      </c>
      <c r="K20" s="2">
        <v>28</v>
      </c>
      <c r="L20" s="2">
        <v>1</v>
      </c>
      <c r="M20" s="3">
        <v>1100</v>
      </c>
    </row>
    <row r="21" spans="1:13" hidden="1" x14ac:dyDescent="0.35">
      <c r="A21">
        <v>20</v>
      </c>
      <c r="B21" s="2" t="s">
        <v>13</v>
      </c>
      <c r="C21" s="2" t="s">
        <v>27</v>
      </c>
      <c r="D21" s="2" t="s">
        <v>24</v>
      </c>
      <c r="E21" s="2" t="s">
        <v>16</v>
      </c>
      <c r="F21" s="3">
        <v>20000</v>
      </c>
      <c r="G21" s="2" t="s">
        <v>25</v>
      </c>
      <c r="H21" s="3">
        <v>10000</v>
      </c>
      <c r="I21" s="3">
        <v>10000</v>
      </c>
      <c r="J21" s="2" t="s">
        <v>22</v>
      </c>
      <c r="K21" s="2">
        <v>39</v>
      </c>
      <c r="L21" s="2">
        <v>1</v>
      </c>
      <c r="M21" s="3">
        <v>1200</v>
      </c>
    </row>
    <row r="22" spans="1:13" hidden="1" x14ac:dyDescent="0.35">
      <c r="A22">
        <v>21</v>
      </c>
      <c r="B22" s="2" t="s">
        <v>19</v>
      </c>
      <c r="C22" s="2" t="s">
        <v>27</v>
      </c>
      <c r="D22" s="2" t="s">
        <v>26</v>
      </c>
      <c r="E22" s="2" t="s">
        <v>21</v>
      </c>
      <c r="F22" s="3">
        <v>35000</v>
      </c>
      <c r="G22" s="2" t="s">
        <v>17</v>
      </c>
      <c r="H22" s="3">
        <v>17500</v>
      </c>
      <c r="I22" s="3">
        <v>17500</v>
      </c>
      <c r="J22" s="2" t="s">
        <v>18</v>
      </c>
      <c r="K22" s="2">
        <v>50</v>
      </c>
      <c r="L22" s="2">
        <v>1</v>
      </c>
      <c r="M22" s="3">
        <v>1300</v>
      </c>
    </row>
    <row r="23" spans="1:13" hidden="1" x14ac:dyDescent="0.35">
      <c r="A23">
        <f>A22+1</f>
        <v>22</v>
      </c>
      <c r="B23" s="2" t="s">
        <v>13</v>
      </c>
      <c r="C23" s="2" t="s">
        <v>27</v>
      </c>
      <c r="D23" s="2" t="s">
        <v>15</v>
      </c>
      <c r="E23" s="2" t="s">
        <v>16</v>
      </c>
      <c r="F23" s="3">
        <v>15000</v>
      </c>
      <c r="G23" s="2" t="s">
        <v>17</v>
      </c>
      <c r="H23" s="3">
        <v>7500</v>
      </c>
      <c r="I23" s="3">
        <v>7500</v>
      </c>
      <c r="J23" s="2" t="s">
        <v>22</v>
      </c>
      <c r="K23" s="2">
        <v>35</v>
      </c>
      <c r="L23" s="2">
        <v>1</v>
      </c>
      <c r="M23" s="3">
        <v>1000</v>
      </c>
    </row>
    <row r="24" spans="1:13" hidden="1" x14ac:dyDescent="0.35">
      <c r="A24">
        <f t="shared" ref="A24:A87" si="0">A23+1</f>
        <v>23</v>
      </c>
      <c r="B24" s="2" t="s">
        <v>19</v>
      </c>
      <c r="C24" s="2" t="s">
        <v>27</v>
      </c>
      <c r="D24" s="2" t="s">
        <v>28</v>
      </c>
      <c r="E24" s="2" t="s">
        <v>21</v>
      </c>
      <c r="F24" s="3">
        <v>32000</v>
      </c>
      <c r="G24" s="2" t="s">
        <v>25</v>
      </c>
      <c r="H24" s="3">
        <v>16000</v>
      </c>
      <c r="I24" s="3">
        <v>16000</v>
      </c>
      <c r="J24" s="2" t="s">
        <v>18</v>
      </c>
      <c r="K24" s="2">
        <v>42</v>
      </c>
      <c r="L24" s="2">
        <v>1</v>
      </c>
      <c r="M24" s="3">
        <v>1200</v>
      </c>
    </row>
    <row r="25" spans="1:13" x14ac:dyDescent="0.35">
      <c r="A25">
        <f t="shared" si="0"/>
        <v>24</v>
      </c>
      <c r="B25" s="2" t="s">
        <v>13</v>
      </c>
      <c r="C25" s="2" t="s">
        <v>27</v>
      </c>
      <c r="D25" s="2" t="s">
        <v>20</v>
      </c>
      <c r="E25" s="2" t="s">
        <v>16</v>
      </c>
      <c r="F25" s="3">
        <v>18000</v>
      </c>
      <c r="G25" s="2" t="s">
        <v>25</v>
      </c>
      <c r="H25" s="3">
        <v>9000</v>
      </c>
      <c r="I25" s="3">
        <v>9000</v>
      </c>
      <c r="J25" s="2" t="s">
        <v>22</v>
      </c>
      <c r="K25" s="2">
        <v>28</v>
      </c>
      <c r="L25" s="2">
        <v>1</v>
      </c>
      <c r="M25" s="3">
        <v>900</v>
      </c>
    </row>
    <row r="26" spans="1:13" hidden="1" x14ac:dyDescent="0.35">
      <c r="A26">
        <f t="shared" si="0"/>
        <v>25</v>
      </c>
      <c r="B26" s="2" t="s">
        <v>13</v>
      </c>
      <c r="C26" s="2" t="s">
        <v>27</v>
      </c>
      <c r="D26" s="2" t="s">
        <v>24</v>
      </c>
      <c r="E26" s="2" t="s">
        <v>16</v>
      </c>
      <c r="F26" s="3">
        <v>20000</v>
      </c>
      <c r="G26" s="2" t="s">
        <v>17</v>
      </c>
      <c r="H26" s="3">
        <v>10000</v>
      </c>
      <c r="I26" s="3">
        <v>10000</v>
      </c>
      <c r="J26" s="2" t="s">
        <v>18</v>
      </c>
      <c r="K26" s="2">
        <v>35</v>
      </c>
      <c r="L26" s="2">
        <v>1</v>
      </c>
      <c r="M26" s="3">
        <v>1000</v>
      </c>
    </row>
    <row r="27" spans="1:13" hidden="1" x14ac:dyDescent="0.35">
      <c r="A27">
        <f t="shared" si="0"/>
        <v>26</v>
      </c>
      <c r="B27" s="2" t="s">
        <v>19</v>
      </c>
      <c r="C27" s="2" t="s">
        <v>27</v>
      </c>
      <c r="D27" s="2" t="s">
        <v>26</v>
      </c>
      <c r="E27" s="2" t="s">
        <v>21</v>
      </c>
      <c r="F27" s="3">
        <v>40000</v>
      </c>
      <c r="G27" s="2" t="s">
        <v>25</v>
      </c>
      <c r="H27" s="3">
        <v>20000</v>
      </c>
      <c r="I27" s="3">
        <v>20000</v>
      </c>
      <c r="J27" s="2" t="s">
        <v>22</v>
      </c>
      <c r="K27" s="2">
        <v>50</v>
      </c>
      <c r="L27" s="2">
        <v>1</v>
      </c>
      <c r="M27" s="3">
        <v>1500</v>
      </c>
    </row>
    <row r="28" spans="1:13" hidden="1" x14ac:dyDescent="0.35">
      <c r="A28">
        <f t="shared" si="0"/>
        <v>27</v>
      </c>
      <c r="B28" s="2" t="s">
        <v>13</v>
      </c>
      <c r="C28" s="2" t="s">
        <v>27</v>
      </c>
      <c r="D28" s="2" t="s">
        <v>15</v>
      </c>
      <c r="E28" s="2" t="s">
        <v>16</v>
      </c>
      <c r="F28" s="3">
        <v>16000</v>
      </c>
      <c r="G28" s="2" t="s">
        <v>25</v>
      </c>
      <c r="H28" s="3">
        <v>8000</v>
      </c>
      <c r="I28" s="3">
        <v>8000</v>
      </c>
      <c r="J28" s="2" t="s">
        <v>18</v>
      </c>
      <c r="K28" s="2">
        <v>32</v>
      </c>
      <c r="L28" s="2">
        <v>1</v>
      </c>
      <c r="M28" s="3">
        <v>900</v>
      </c>
    </row>
    <row r="29" spans="1:13" hidden="1" x14ac:dyDescent="0.35">
      <c r="A29">
        <f t="shared" si="0"/>
        <v>28</v>
      </c>
      <c r="B29" s="2" t="s">
        <v>19</v>
      </c>
      <c r="C29" s="2" t="s">
        <v>27</v>
      </c>
      <c r="D29" s="2" t="s">
        <v>28</v>
      </c>
      <c r="E29" s="2" t="s">
        <v>21</v>
      </c>
      <c r="F29" s="3">
        <v>30000</v>
      </c>
      <c r="G29" s="2" t="s">
        <v>17</v>
      </c>
      <c r="H29" s="3">
        <v>15000</v>
      </c>
      <c r="I29" s="3">
        <v>15000</v>
      </c>
      <c r="J29" s="2" t="s">
        <v>22</v>
      </c>
      <c r="K29" s="2">
        <v>50</v>
      </c>
      <c r="L29" s="2">
        <v>1</v>
      </c>
      <c r="M29" s="3">
        <v>800</v>
      </c>
    </row>
    <row r="30" spans="1:13" x14ac:dyDescent="0.35">
      <c r="A30">
        <f t="shared" si="0"/>
        <v>29</v>
      </c>
      <c r="B30" s="2" t="s">
        <v>13</v>
      </c>
      <c r="C30" s="2" t="s">
        <v>27</v>
      </c>
      <c r="D30" s="2" t="s">
        <v>20</v>
      </c>
      <c r="E30" s="2" t="s">
        <v>16</v>
      </c>
      <c r="F30" s="3">
        <v>20000</v>
      </c>
      <c r="G30" s="2" t="s">
        <v>17</v>
      </c>
      <c r="H30" s="3">
        <v>10000</v>
      </c>
      <c r="I30" s="3">
        <v>10000</v>
      </c>
      <c r="J30" s="2" t="s">
        <v>18</v>
      </c>
      <c r="K30" s="2">
        <v>45</v>
      </c>
      <c r="L30" s="2">
        <v>1</v>
      </c>
      <c r="M30" s="3">
        <v>700</v>
      </c>
    </row>
    <row r="31" spans="1:13" hidden="1" x14ac:dyDescent="0.35">
      <c r="A31">
        <f t="shared" si="0"/>
        <v>30</v>
      </c>
      <c r="B31" s="2" t="s">
        <v>19</v>
      </c>
      <c r="C31" s="2" t="s">
        <v>27</v>
      </c>
      <c r="D31" s="2" t="s">
        <v>24</v>
      </c>
      <c r="E31" s="2" t="s">
        <v>21</v>
      </c>
      <c r="F31" s="3">
        <v>35000</v>
      </c>
      <c r="G31" s="2" t="s">
        <v>25</v>
      </c>
      <c r="H31" s="3">
        <v>17500</v>
      </c>
      <c r="I31" s="3">
        <v>17500</v>
      </c>
      <c r="J31" s="2" t="s">
        <v>22</v>
      </c>
      <c r="K31" s="2">
        <v>55</v>
      </c>
      <c r="L31" s="2">
        <v>1</v>
      </c>
      <c r="M31" s="3">
        <v>1300</v>
      </c>
    </row>
    <row r="32" spans="1:13" hidden="1" x14ac:dyDescent="0.35">
      <c r="A32">
        <f t="shared" si="0"/>
        <v>31</v>
      </c>
      <c r="B32" s="2" t="s">
        <v>13</v>
      </c>
      <c r="C32" s="2" t="s">
        <v>27</v>
      </c>
      <c r="D32" s="2" t="s">
        <v>26</v>
      </c>
      <c r="E32" s="2" t="s">
        <v>16</v>
      </c>
      <c r="F32" s="3">
        <v>18000</v>
      </c>
      <c r="G32" s="2" t="s">
        <v>17</v>
      </c>
      <c r="H32" s="3">
        <v>9000</v>
      </c>
      <c r="I32" s="3">
        <v>9000</v>
      </c>
      <c r="J32" s="2" t="s">
        <v>18</v>
      </c>
      <c r="K32" s="2">
        <v>38</v>
      </c>
      <c r="L32" s="2">
        <v>1</v>
      </c>
      <c r="M32" s="3">
        <v>1500</v>
      </c>
    </row>
    <row r="33" spans="1:13" hidden="1" x14ac:dyDescent="0.35">
      <c r="A33">
        <f t="shared" si="0"/>
        <v>32</v>
      </c>
      <c r="B33" s="2" t="s">
        <v>13</v>
      </c>
      <c r="C33" s="2" t="s">
        <v>27</v>
      </c>
      <c r="D33" s="2" t="s">
        <v>15</v>
      </c>
      <c r="E33" s="2" t="s">
        <v>16</v>
      </c>
      <c r="F33" s="3">
        <v>15000</v>
      </c>
      <c r="G33" s="2" t="s">
        <v>25</v>
      </c>
      <c r="H33" s="3">
        <v>7500</v>
      </c>
      <c r="I33" s="3">
        <v>7500</v>
      </c>
      <c r="J33" s="2" t="s">
        <v>22</v>
      </c>
      <c r="K33" s="2">
        <v>45</v>
      </c>
      <c r="L33" s="2">
        <v>1</v>
      </c>
      <c r="M33" s="3">
        <v>800</v>
      </c>
    </row>
    <row r="34" spans="1:13" hidden="1" x14ac:dyDescent="0.35">
      <c r="A34">
        <f t="shared" si="0"/>
        <v>33</v>
      </c>
      <c r="B34" s="2" t="s">
        <v>19</v>
      </c>
      <c r="C34" s="2" t="s">
        <v>27</v>
      </c>
      <c r="D34" s="2" t="s">
        <v>28</v>
      </c>
      <c r="E34" s="2" t="s">
        <v>21</v>
      </c>
      <c r="F34" s="3">
        <v>30000</v>
      </c>
      <c r="G34" s="2" t="s">
        <v>17</v>
      </c>
      <c r="H34" s="3">
        <v>15000</v>
      </c>
      <c r="I34" s="3">
        <v>15000</v>
      </c>
      <c r="J34" s="2" t="s">
        <v>18</v>
      </c>
      <c r="K34" s="2">
        <v>52</v>
      </c>
      <c r="L34" s="2">
        <v>1</v>
      </c>
      <c r="M34" s="3">
        <v>900</v>
      </c>
    </row>
    <row r="35" spans="1:13" x14ac:dyDescent="0.35">
      <c r="A35">
        <f t="shared" si="0"/>
        <v>34</v>
      </c>
      <c r="B35" s="2" t="s">
        <v>13</v>
      </c>
      <c r="C35" s="2" t="s">
        <v>27</v>
      </c>
      <c r="D35" s="2" t="s">
        <v>20</v>
      </c>
      <c r="E35" s="2" t="s">
        <v>16</v>
      </c>
      <c r="F35" s="3">
        <v>20000</v>
      </c>
      <c r="G35" s="2" t="s">
        <v>25</v>
      </c>
      <c r="H35" s="3">
        <v>10000</v>
      </c>
      <c r="I35" s="3">
        <v>10000</v>
      </c>
      <c r="J35" s="2" t="s">
        <v>22</v>
      </c>
      <c r="K35" s="2">
        <v>40</v>
      </c>
      <c r="L35" s="2">
        <v>1</v>
      </c>
      <c r="M35" s="3">
        <v>700</v>
      </c>
    </row>
    <row r="36" spans="1:13" hidden="1" x14ac:dyDescent="0.35">
      <c r="A36">
        <f t="shared" si="0"/>
        <v>35</v>
      </c>
      <c r="B36" s="2" t="s">
        <v>13</v>
      </c>
      <c r="C36" s="2" t="s">
        <v>27</v>
      </c>
      <c r="D36" s="2" t="s">
        <v>24</v>
      </c>
      <c r="E36" s="2" t="s">
        <v>16</v>
      </c>
      <c r="F36" s="3">
        <v>18000</v>
      </c>
      <c r="G36" s="2" t="s">
        <v>25</v>
      </c>
      <c r="H36" s="3">
        <v>9000</v>
      </c>
      <c r="I36" s="3">
        <v>9000</v>
      </c>
      <c r="J36" s="2" t="s">
        <v>18</v>
      </c>
      <c r="K36" s="2">
        <v>28</v>
      </c>
      <c r="L36" s="2">
        <v>1</v>
      </c>
      <c r="M36" s="3">
        <v>1000</v>
      </c>
    </row>
    <row r="37" spans="1:13" hidden="1" x14ac:dyDescent="0.35">
      <c r="A37">
        <f t="shared" si="0"/>
        <v>36</v>
      </c>
      <c r="B37" s="2" t="s">
        <v>19</v>
      </c>
      <c r="C37" s="2" t="s">
        <v>27</v>
      </c>
      <c r="D37" s="2" t="s">
        <v>26</v>
      </c>
      <c r="E37" s="2" t="s">
        <v>21</v>
      </c>
      <c r="F37" s="3">
        <v>35000</v>
      </c>
      <c r="G37" s="2" t="s">
        <v>25</v>
      </c>
      <c r="H37" s="3">
        <v>17500</v>
      </c>
      <c r="I37" s="3">
        <v>17500</v>
      </c>
      <c r="J37" s="2" t="s">
        <v>22</v>
      </c>
      <c r="K37" s="2">
        <v>55</v>
      </c>
      <c r="L37" s="2">
        <v>1</v>
      </c>
      <c r="M37" s="3">
        <v>1500</v>
      </c>
    </row>
    <row r="38" spans="1:13" hidden="1" x14ac:dyDescent="0.35">
      <c r="A38">
        <f t="shared" si="0"/>
        <v>37</v>
      </c>
      <c r="B38" s="2" t="s">
        <v>13</v>
      </c>
      <c r="C38" s="2" t="s">
        <v>27</v>
      </c>
      <c r="D38" s="2" t="s">
        <v>15</v>
      </c>
      <c r="E38" s="2" t="s">
        <v>16</v>
      </c>
      <c r="F38" s="3">
        <v>20000</v>
      </c>
      <c r="G38" s="2" t="s">
        <v>17</v>
      </c>
      <c r="H38" s="3">
        <v>10000</v>
      </c>
      <c r="I38" s="3">
        <v>10000</v>
      </c>
      <c r="J38" s="2" t="s">
        <v>18</v>
      </c>
      <c r="K38" s="2">
        <v>35</v>
      </c>
      <c r="L38" s="2">
        <v>1</v>
      </c>
      <c r="M38" s="3">
        <v>1100</v>
      </c>
    </row>
    <row r="39" spans="1:13" hidden="1" x14ac:dyDescent="0.35">
      <c r="A39">
        <f t="shared" si="0"/>
        <v>38</v>
      </c>
      <c r="B39" s="2" t="s">
        <v>19</v>
      </c>
      <c r="C39" s="2" t="s">
        <v>27</v>
      </c>
      <c r="D39" s="2" t="s">
        <v>28</v>
      </c>
      <c r="E39" s="2" t="s">
        <v>21</v>
      </c>
      <c r="F39" s="3">
        <v>30000</v>
      </c>
      <c r="G39" s="2" t="s">
        <v>17</v>
      </c>
      <c r="H39" s="3">
        <v>15000</v>
      </c>
      <c r="I39" s="3">
        <v>15000</v>
      </c>
      <c r="J39" s="2" t="s">
        <v>22</v>
      </c>
      <c r="K39" s="2">
        <v>42</v>
      </c>
      <c r="L39" s="2">
        <v>1</v>
      </c>
      <c r="M39" s="3">
        <v>900</v>
      </c>
    </row>
    <row r="40" spans="1:13" x14ac:dyDescent="0.35">
      <c r="A40">
        <f t="shared" si="0"/>
        <v>39</v>
      </c>
      <c r="B40" s="2" t="s">
        <v>13</v>
      </c>
      <c r="C40" s="2" t="s">
        <v>27</v>
      </c>
      <c r="D40" s="2" t="s">
        <v>20</v>
      </c>
      <c r="E40" s="2" t="s">
        <v>16</v>
      </c>
      <c r="F40" s="3">
        <v>18000</v>
      </c>
      <c r="G40" s="2" t="s">
        <v>17</v>
      </c>
      <c r="H40" s="3">
        <v>9000</v>
      </c>
      <c r="I40" s="3">
        <v>9000</v>
      </c>
      <c r="J40" s="2" t="s">
        <v>18</v>
      </c>
      <c r="K40" s="2">
        <v>45</v>
      </c>
      <c r="L40" s="2">
        <v>1</v>
      </c>
      <c r="M40" s="3">
        <v>1000</v>
      </c>
    </row>
    <row r="41" spans="1:13" hidden="1" x14ac:dyDescent="0.35">
      <c r="A41">
        <f t="shared" si="0"/>
        <v>40</v>
      </c>
      <c r="B41" s="2" t="s">
        <v>19</v>
      </c>
      <c r="C41" s="2" t="s">
        <v>27</v>
      </c>
      <c r="D41" s="2" t="s">
        <v>24</v>
      </c>
      <c r="E41" s="2" t="s">
        <v>21</v>
      </c>
      <c r="F41" s="3">
        <v>40000</v>
      </c>
      <c r="G41" s="2" t="s">
        <v>25</v>
      </c>
      <c r="H41" s="3">
        <v>20000</v>
      </c>
      <c r="I41" s="3">
        <v>20000</v>
      </c>
      <c r="J41" s="2" t="s">
        <v>22</v>
      </c>
      <c r="K41" s="2">
        <v>50</v>
      </c>
      <c r="L41" s="2">
        <v>1</v>
      </c>
      <c r="M41" s="3">
        <v>1200</v>
      </c>
    </row>
    <row r="42" spans="1:13" hidden="1" x14ac:dyDescent="0.35">
      <c r="A42">
        <f t="shared" si="0"/>
        <v>41</v>
      </c>
      <c r="B42" s="2" t="s">
        <v>13</v>
      </c>
      <c r="C42" s="2" t="s">
        <v>27</v>
      </c>
      <c r="D42" s="2" t="s">
        <v>26</v>
      </c>
      <c r="E42" s="2" t="s">
        <v>16</v>
      </c>
      <c r="F42" s="3">
        <v>16000</v>
      </c>
      <c r="G42" s="2" t="s">
        <v>17</v>
      </c>
      <c r="H42" s="3">
        <v>8000</v>
      </c>
      <c r="I42" s="3">
        <v>8000</v>
      </c>
      <c r="J42" s="2" t="s">
        <v>18</v>
      </c>
      <c r="K42" s="2">
        <v>28</v>
      </c>
      <c r="L42" s="2">
        <v>1</v>
      </c>
      <c r="M42" s="3">
        <v>700</v>
      </c>
    </row>
    <row r="43" spans="1:13" hidden="1" x14ac:dyDescent="0.35">
      <c r="A43">
        <f t="shared" si="0"/>
        <v>42</v>
      </c>
      <c r="B43" s="2" t="s">
        <v>19</v>
      </c>
      <c r="C43" s="2" t="s">
        <v>27</v>
      </c>
      <c r="D43" s="2" t="s">
        <v>15</v>
      </c>
      <c r="E43" s="2" t="s">
        <v>21</v>
      </c>
      <c r="F43" s="3">
        <v>32000</v>
      </c>
      <c r="G43" s="2" t="s">
        <v>17</v>
      </c>
      <c r="H43" s="3">
        <v>16000</v>
      </c>
      <c r="I43" s="3">
        <v>16000</v>
      </c>
      <c r="J43" s="2" t="s">
        <v>22</v>
      </c>
      <c r="K43" s="2">
        <v>50</v>
      </c>
      <c r="L43" s="2">
        <v>1</v>
      </c>
      <c r="M43" s="3">
        <v>1000</v>
      </c>
    </row>
    <row r="44" spans="1:13" hidden="1" x14ac:dyDescent="0.35">
      <c r="A44">
        <f t="shared" si="0"/>
        <v>43</v>
      </c>
      <c r="B44" s="2" t="s">
        <v>13</v>
      </c>
      <c r="C44" s="2" t="s">
        <v>27</v>
      </c>
      <c r="D44" s="2" t="s">
        <v>28</v>
      </c>
      <c r="E44" s="2" t="s">
        <v>16</v>
      </c>
      <c r="F44" s="3">
        <v>20000</v>
      </c>
      <c r="G44" s="2" t="s">
        <v>17</v>
      </c>
      <c r="H44" s="3">
        <v>10000</v>
      </c>
      <c r="I44" s="3">
        <v>10000</v>
      </c>
      <c r="J44" s="2" t="s">
        <v>18</v>
      </c>
      <c r="K44" s="2">
        <v>35</v>
      </c>
      <c r="L44" s="2">
        <v>1</v>
      </c>
      <c r="M44" s="3">
        <v>800</v>
      </c>
    </row>
    <row r="45" spans="1:13" x14ac:dyDescent="0.35">
      <c r="A45">
        <f t="shared" si="0"/>
        <v>44</v>
      </c>
      <c r="B45" s="2" t="s">
        <v>19</v>
      </c>
      <c r="C45" s="2" t="s">
        <v>27</v>
      </c>
      <c r="D45" s="2" t="s">
        <v>20</v>
      </c>
      <c r="E45" s="2" t="s">
        <v>21</v>
      </c>
      <c r="F45" s="3">
        <v>35000</v>
      </c>
      <c r="G45" s="2" t="s">
        <v>25</v>
      </c>
      <c r="H45" s="3">
        <v>17500</v>
      </c>
      <c r="I45" s="3">
        <v>17500</v>
      </c>
      <c r="J45" s="2" t="s">
        <v>22</v>
      </c>
      <c r="K45" s="2">
        <v>42</v>
      </c>
      <c r="L45" s="2">
        <v>1</v>
      </c>
      <c r="M45" s="3">
        <v>700</v>
      </c>
    </row>
    <row r="46" spans="1:13" hidden="1" x14ac:dyDescent="0.35">
      <c r="A46">
        <f t="shared" si="0"/>
        <v>45</v>
      </c>
      <c r="B46" s="2" t="s">
        <v>13</v>
      </c>
      <c r="C46" s="2" t="s">
        <v>27</v>
      </c>
      <c r="D46" s="2" t="s">
        <v>24</v>
      </c>
      <c r="E46" s="2" t="s">
        <v>16</v>
      </c>
      <c r="F46" s="3">
        <v>15000</v>
      </c>
      <c r="G46" s="2" t="s">
        <v>25</v>
      </c>
      <c r="H46" s="3">
        <v>7500</v>
      </c>
      <c r="I46" s="3">
        <v>7500</v>
      </c>
      <c r="J46" s="2" t="s">
        <v>18</v>
      </c>
      <c r="K46" s="2">
        <v>32</v>
      </c>
      <c r="L46" s="2">
        <v>1</v>
      </c>
      <c r="M46" s="3">
        <v>900</v>
      </c>
    </row>
    <row r="47" spans="1:13" hidden="1" x14ac:dyDescent="0.35">
      <c r="A47">
        <f t="shared" si="0"/>
        <v>46</v>
      </c>
      <c r="B47" s="2" t="s">
        <v>19</v>
      </c>
      <c r="C47" s="2" t="s">
        <v>27</v>
      </c>
      <c r="D47" s="2" t="s">
        <v>26</v>
      </c>
      <c r="E47" s="2" t="s">
        <v>21</v>
      </c>
      <c r="F47" s="3">
        <v>30000</v>
      </c>
      <c r="G47" s="2" t="s">
        <v>17</v>
      </c>
      <c r="H47" s="3">
        <v>15000</v>
      </c>
      <c r="I47" s="3">
        <v>15000</v>
      </c>
      <c r="J47" s="2" t="s">
        <v>22</v>
      </c>
      <c r="K47" s="2">
        <v>48</v>
      </c>
      <c r="L47" s="2">
        <v>1</v>
      </c>
      <c r="M47" s="3">
        <v>1200</v>
      </c>
    </row>
    <row r="48" spans="1:13" hidden="1" x14ac:dyDescent="0.35">
      <c r="A48">
        <f t="shared" si="0"/>
        <v>47</v>
      </c>
      <c r="B48" s="2" t="s">
        <v>13</v>
      </c>
      <c r="C48" s="2" t="s">
        <v>27</v>
      </c>
      <c r="D48" s="2" t="s">
        <v>15</v>
      </c>
      <c r="E48" s="2" t="s">
        <v>16</v>
      </c>
      <c r="F48" s="3">
        <v>16000</v>
      </c>
      <c r="G48" s="2" t="s">
        <v>25</v>
      </c>
      <c r="H48" s="3">
        <v>8000</v>
      </c>
      <c r="I48" s="3">
        <v>8000</v>
      </c>
      <c r="J48" s="2" t="s">
        <v>18</v>
      </c>
      <c r="K48" s="2">
        <v>38</v>
      </c>
      <c r="L48" s="2">
        <v>1</v>
      </c>
      <c r="M48" s="3">
        <v>800</v>
      </c>
    </row>
    <row r="49" spans="1:13" hidden="1" x14ac:dyDescent="0.35">
      <c r="A49">
        <f t="shared" si="0"/>
        <v>48</v>
      </c>
      <c r="B49" s="2" t="s">
        <v>19</v>
      </c>
      <c r="C49" s="2" t="s">
        <v>27</v>
      </c>
      <c r="D49" s="2" t="s">
        <v>28</v>
      </c>
      <c r="E49" s="2" t="s">
        <v>21</v>
      </c>
      <c r="F49" s="3">
        <v>30000</v>
      </c>
      <c r="G49" s="2" t="s">
        <v>17</v>
      </c>
      <c r="H49" s="3">
        <v>15000</v>
      </c>
      <c r="I49" s="3">
        <v>15000</v>
      </c>
      <c r="J49" s="2" t="s">
        <v>22</v>
      </c>
      <c r="K49" s="2">
        <v>50</v>
      </c>
      <c r="L49" s="2">
        <v>1</v>
      </c>
      <c r="M49" s="3">
        <v>900</v>
      </c>
    </row>
    <row r="50" spans="1:13" x14ac:dyDescent="0.35">
      <c r="A50">
        <f t="shared" si="0"/>
        <v>49</v>
      </c>
      <c r="B50" s="2" t="s">
        <v>13</v>
      </c>
      <c r="C50" s="2" t="s">
        <v>27</v>
      </c>
      <c r="D50" s="2" t="s">
        <v>20</v>
      </c>
      <c r="E50" s="2" t="s">
        <v>16</v>
      </c>
      <c r="F50" s="3">
        <v>18000</v>
      </c>
      <c r="G50" s="2" t="s">
        <v>17</v>
      </c>
      <c r="H50" s="3">
        <v>9000</v>
      </c>
      <c r="I50" s="3">
        <v>9000</v>
      </c>
      <c r="J50" s="2" t="s">
        <v>18</v>
      </c>
      <c r="K50" s="2">
        <v>28</v>
      </c>
      <c r="L50" s="2">
        <v>1</v>
      </c>
      <c r="M50" s="3">
        <v>700</v>
      </c>
    </row>
    <row r="51" spans="1:13" hidden="1" x14ac:dyDescent="0.35">
      <c r="A51">
        <f t="shared" si="0"/>
        <v>50</v>
      </c>
      <c r="B51" s="2" t="s">
        <v>19</v>
      </c>
      <c r="C51" s="2" t="s">
        <v>27</v>
      </c>
      <c r="D51" s="2" t="s">
        <v>24</v>
      </c>
      <c r="E51" s="2" t="s">
        <v>21</v>
      </c>
      <c r="F51" s="3">
        <v>35000</v>
      </c>
      <c r="G51" s="2" t="s">
        <v>25</v>
      </c>
      <c r="H51" s="3">
        <v>17500</v>
      </c>
      <c r="I51" s="3">
        <v>17500</v>
      </c>
      <c r="J51" s="2" t="s">
        <v>22</v>
      </c>
      <c r="K51" s="2">
        <v>42</v>
      </c>
      <c r="L51" s="2">
        <v>1</v>
      </c>
      <c r="M51" s="3">
        <v>1000</v>
      </c>
    </row>
    <row r="52" spans="1:13" hidden="1" x14ac:dyDescent="0.35">
      <c r="A52">
        <f t="shared" si="0"/>
        <v>51</v>
      </c>
      <c r="B52" s="2" t="s">
        <v>13</v>
      </c>
      <c r="C52" s="2" t="s">
        <v>27</v>
      </c>
      <c r="D52" s="2" t="s">
        <v>26</v>
      </c>
      <c r="E52" s="2" t="s">
        <v>16</v>
      </c>
      <c r="F52" s="3">
        <v>16000</v>
      </c>
      <c r="G52" s="2" t="s">
        <v>17</v>
      </c>
      <c r="H52" s="3">
        <v>8000</v>
      </c>
      <c r="I52" s="3">
        <v>8000</v>
      </c>
      <c r="J52" s="2" t="s">
        <v>18</v>
      </c>
      <c r="K52" s="2">
        <v>35</v>
      </c>
      <c r="L52" s="2">
        <v>1</v>
      </c>
      <c r="M52" s="3">
        <v>1100</v>
      </c>
    </row>
    <row r="53" spans="1:13" hidden="1" x14ac:dyDescent="0.35">
      <c r="A53">
        <f t="shared" si="0"/>
        <v>52</v>
      </c>
      <c r="B53" s="2" t="s">
        <v>19</v>
      </c>
      <c r="C53" s="2" t="s">
        <v>27</v>
      </c>
      <c r="D53" s="2" t="s">
        <v>15</v>
      </c>
      <c r="E53" s="2" t="s">
        <v>21</v>
      </c>
      <c r="F53" s="3">
        <v>30000</v>
      </c>
      <c r="G53" s="2" t="s">
        <v>25</v>
      </c>
      <c r="H53" s="3">
        <v>15000</v>
      </c>
      <c r="I53" s="3">
        <v>15000</v>
      </c>
      <c r="J53" s="2" t="s">
        <v>22</v>
      </c>
      <c r="K53" s="2">
        <v>55</v>
      </c>
      <c r="L53" s="2">
        <v>1</v>
      </c>
      <c r="M53" s="3">
        <v>1500</v>
      </c>
    </row>
    <row r="54" spans="1:13" hidden="1" x14ac:dyDescent="0.35">
      <c r="A54">
        <f t="shared" si="0"/>
        <v>53</v>
      </c>
      <c r="B54" s="2" t="s">
        <v>13</v>
      </c>
      <c r="C54" s="2" t="s">
        <v>27</v>
      </c>
      <c r="D54" s="2" t="s">
        <v>28</v>
      </c>
      <c r="E54" s="2" t="s">
        <v>16</v>
      </c>
      <c r="F54" s="3">
        <v>18000</v>
      </c>
      <c r="G54" s="2" t="s">
        <v>17</v>
      </c>
      <c r="H54" s="3">
        <v>9000</v>
      </c>
      <c r="I54" s="3">
        <v>9000</v>
      </c>
      <c r="J54" s="2" t="s">
        <v>18</v>
      </c>
      <c r="K54" s="2">
        <v>32</v>
      </c>
      <c r="L54" s="2">
        <v>1</v>
      </c>
      <c r="M54" s="3">
        <v>900</v>
      </c>
    </row>
    <row r="55" spans="1:13" hidden="1" x14ac:dyDescent="0.35">
      <c r="A55">
        <f t="shared" si="0"/>
        <v>54</v>
      </c>
      <c r="B55" s="2" t="s">
        <v>13</v>
      </c>
      <c r="C55" s="2" t="s">
        <v>14</v>
      </c>
      <c r="D55" s="2" t="s">
        <v>30</v>
      </c>
      <c r="E55" s="2" t="s">
        <v>16</v>
      </c>
      <c r="F55" s="3">
        <v>30000000</v>
      </c>
      <c r="G55" s="2" t="s">
        <v>25</v>
      </c>
      <c r="H55" s="3">
        <v>300000</v>
      </c>
      <c r="I55" s="3">
        <v>300000</v>
      </c>
      <c r="J55" s="2" t="s">
        <v>22</v>
      </c>
      <c r="K55" s="2">
        <v>55</v>
      </c>
      <c r="L55" s="2">
        <v>1</v>
      </c>
      <c r="M55" s="3">
        <v>2500</v>
      </c>
    </row>
    <row r="56" spans="1:13" x14ac:dyDescent="0.35">
      <c r="A56">
        <f t="shared" si="0"/>
        <v>55</v>
      </c>
      <c r="B56" s="2" t="s">
        <v>19</v>
      </c>
      <c r="C56" s="2" t="s">
        <v>14</v>
      </c>
      <c r="D56" s="2" t="s">
        <v>20</v>
      </c>
      <c r="E56" s="2" t="s">
        <v>21</v>
      </c>
      <c r="F56" s="3">
        <v>3000000</v>
      </c>
      <c r="G56" s="2" t="s">
        <v>17</v>
      </c>
      <c r="H56" s="3">
        <v>30000</v>
      </c>
      <c r="I56" s="3">
        <v>30000</v>
      </c>
      <c r="J56" s="2" t="s">
        <v>18</v>
      </c>
      <c r="K56" s="2">
        <v>45</v>
      </c>
      <c r="L56" s="2">
        <v>1</v>
      </c>
      <c r="M56" s="3">
        <v>2000</v>
      </c>
    </row>
    <row r="57" spans="1:13" hidden="1" x14ac:dyDescent="0.35">
      <c r="A57">
        <f t="shared" si="0"/>
        <v>56</v>
      </c>
      <c r="B57" s="2" t="s">
        <v>13</v>
      </c>
      <c r="C57" s="2" t="s">
        <v>14</v>
      </c>
      <c r="D57" s="2" t="s">
        <v>24</v>
      </c>
      <c r="E57" s="2" t="s">
        <v>16</v>
      </c>
      <c r="F57" s="3">
        <v>10000000</v>
      </c>
      <c r="G57" s="2" t="s">
        <v>25</v>
      </c>
      <c r="H57" s="3">
        <v>100000</v>
      </c>
      <c r="I57" s="3">
        <v>100000</v>
      </c>
      <c r="J57" s="2" t="s">
        <v>22</v>
      </c>
      <c r="K57" s="2">
        <v>60</v>
      </c>
      <c r="L57" s="2">
        <v>1</v>
      </c>
      <c r="M57" s="3">
        <v>3000</v>
      </c>
    </row>
    <row r="58" spans="1:13" hidden="1" x14ac:dyDescent="0.35">
      <c r="A58">
        <f t="shared" si="0"/>
        <v>57</v>
      </c>
      <c r="B58" s="2" t="s">
        <v>19</v>
      </c>
      <c r="C58" s="2" t="s">
        <v>14</v>
      </c>
      <c r="D58" s="2" t="s">
        <v>29</v>
      </c>
      <c r="E58" s="2" t="s">
        <v>21</v>
      </c>
      <c r="F58" s="3">
        <v>5000000</v>
      </c>
      <c r="G58" s="2" t="s">
        <v>17</v>
      </c>
      <c r="H58" s="3">
        <v>50000</v>
      </c>
      <c r="I58" s="3">
        <v>50000</v>
      </c>
      <c r="J58" s="2" t="s">
        <v>18</v>
      </c>
      <c r="K58" s="2">
        <v>50</v>
      </c>
      <c r="L58" s="2">
        <v>1</v>
      </c>
      <c r="M58" s="3">
        <v>1000</v>
      </c>
    </row>
    <row r="59" spans="1:13" hidden="1" x14ac:dyDescent="0.35">
      <c r="A59">
        <f t="shared" si="0"/>
        <v>58</v>
      </c>
      <c r="B59" s="2" t="s">
        <v>13</v>
      </c>
      <c r="C59" s="2" t="s">
        <v>14</v>
      </c>
      <c r="D59" s="2" t="s">
        <v>26</v>
      </c>
      <c r="E59" s="2" t="s">
        <v>16</v>
      </c>
      <c r="F59" s="3">
        <v>25000000</v>
      </c>
      <c r="G59" s="2" t="s">
        <v>25</v>
      </c>
      <c r="H59" s="3">
        <v>0</v>
      </c>
      <c r="I59" s="3">
        <v>250000</v>
      </c>
      <c r="J59" s="2" t="s">
        <v>22</v>
      </c>
      <c r="K59" s="2">
        <v>45</v>
      </c>
      <c r="L59" s="2">
        <v>2</v>
      </c>
      <c r="M59" s="3">
        <v>2000</v>
      </c>
    </row>
    <row r="60" spans="1:13" hidden="1" x14ac:dyDescent="0.35">
      <c r="A60">
        <f t="shared" si="0"/>
        <v>59</v>
      </c>
      <c r="B60" s="2" t="s">
        <v>13</v>
      </c>
      <c r="C60" s="2" t="s">
        <v>27</v>
      </c>
      <c r="D60" s="2" t="s">
        <v>24</v>
      </c>
      <c r="E60" s="2" t="s">
        <v>16</v>
      </c>
      <c r="F60" s="3">
        <v>15000</v>
      </c>
      <c r="G60" s="2" t="s">
        <v>25</v>
      </c>
      <c r="H60" s="3">
        <v>7500</v>
      </c>
      <c r="I60" s="3">
        <v>7500</v>
      </c>
      <c r="J60" s="2" t="s">
        <v>18</v>
      </c>
      <c r="K60" s="2">
        <v>35</v>
      </c>
      <c r="L60" s="2">
        <v>1</v>
      </c>
      <c r="M60" s="3">
        <v>1000</v>
      </c>
    </row>
    <row r="61" spans="1:13" hidden="1" x14ac:dyDescent="0.35">
      <c r="A61">
        <f t="shared" si="0"/>
        <v>60</v>
      </c>
      <c r="B61" s="2" t="s">
        <v>19</v>
      </c>
      <c r="C61" s="2" t="s">
        <v>27</v>
      </c>
      <c r="D61" s="2" t="s">
        <v>28</v>
      </c>
      <c r="E61" s="2" t="s">
        <v>21</v>
      </c>
      <c r="F61" s="3">
        <v>30000</v>
      </c>
      <c r="G61" s="2" t="s">
        <v>25</v>
      </c>
      <c r="H61" s="3">
        <v>15000</v>
      </c>
      <c r="I61" s="3">
        <v>15000</v>
      </c>
      <c r="J61" s="2" t="s">
        <v>22</v>
      </c>
      <c r="K61" s="2">
        <v>42</v>
      </c>
      <c r="L61" s="2">
        <v>1</v>
      </c>
      <c r="M61" s="3">
        <v>1200</v>
      </c>
    </row>
    <row r="62" spans="1:13" x14ac:dyDescent="0.35">
      <c r="A62">
        <f t="shared" si="0"/>
        <v>61</v>
      </c>
      <c r="B62" s="2" t="s">
        <v>13</v>
      </c>
      <c r="C62" s="2" t="s">
        <v>27</v>
      </c>
      <c r="D62" s="2" t="s">
        <v>20</v>
      </c>
      <c r="E62" s="2" t="s">
        <v>16</v>
      </c>
      <c r="F62" s="3">
        <v>18000</v>
      </c>
      <c r="G62" s="2" t="s">
        <v>17</v>
      </c>
      <c r="H62" s="3">
        <v>9000</v>
      </c>
      <c r="I62" s="3">
        <v>9000</v>
      </c>
      <c r="J62" s="2" t="s">
        <v>18</v>
      </c>
      <c r="K62" s="2">
        <v>28</v>
      </c>
      <c r="L62" s="2">
        <v>1</v>
      </c>
      <c r="M62" s="3">
        <v>900</v>
      </c>
    </row>
    <row r="63" spans="1:13" hidden="1" x14ac:dyDescent="0.35">
      <c r="A63">
        <f t="shared" si="0"/>
        <v>62</v>
      </c>
      <c r="B63" s="2" t="s">
        <v>19</v>
      </c>
      <c r="C63" s="2" t="s">
        <v>27</v>
      </c>
      <c r="D63" s="2" t="s">
        <v>24</v>
      </c>
      <c r="E63" s="2" t="s">
        <v>21</v>
      </c>
      <c r="F63" s="3">
        <v>40000</v>
      </c>
      <c r="G63" s="2" t="s">
        <v>25</v>
      </c>
      <c r="H63" s="3">
        <v>20000</v>
      </c>
      <c r="I63" s="3">
        <v>20000</v>
      </c>
      <c r="J63" s="2" t="s">
        <v>22</v>
      </c>
      <c r="K63" s="2">
        <v>50</v>
      </c>
      <c r="L63" s="2">
        <v>1</v>
      </c>
      <c r="M63" s="3">
        <v>1500</v>
      </c>
    </row>
    <row r="64" spans="1:13" hidden="1" x14ac:dyDescent="0.35">
      <c r="A64">
        <f t="shared" si="0"/>
        <v>63</v>
      </c>
      <c r="B64" s="2" t="s">
        <v>13</v>
      </c>
      <c r="C64" s="2" t="s">
        <v>27</v>
      </c>
      <c r="D64" s="2" t="s">
        <v>26</v>
      </c>
      <c r="E64" s="2" t="s">
        <v>16</v>
      </c>
      <c r="F64" s="3">
        <v>16000</v>
      </c>
      <c r="G64" s="2" t="s">
        <v>17</v>
      </c>
      <c r="H64" s="3">
        <v>8000</v>
      </c>
      <c r="I64" s="3">
        <v>8000</v>
      </c>
      <c r="J64" s="2" t="s">
        <v>18</v>
      </c>
      <c r="K64" s="2">
        <v>38</v>
      </c>
      <c r="L64" s="2">
        <v>1</v>
      </c>
      <c r="M64" s="3">
        <v>950</v>
      </c>
    </row>
    <row r="65" spans="1:13" hidden="1" x14ac:dyDescent="0.35">
      <c r="A65">
        <f t="shared" si="0"/>
        <v>64</v>
      </c>
      <c r="B65" s="2" t="s">
        <v>13</v>
      </c>
      <c r="C65" s="2" t="s">
        <v>27</v>
      </c>
      <c r="D65" s="2" t="s">
        <v>29</v>
      </c>
      <c r="E65" s="2" t="s">
        <v>16</v>
      </c>
      <c r="F65" s="3">
        <v>12000</v>
      </c>
      <c r="G65" s="2" t="s">
        <v>25</v>
      </c>
      <c r="H65" s="3">
        <v>6000</v>
      </c>
      <c r="I65" s="3">
        <v>6000</v>
      </c>
      <c r="J65" s="2" t="s">
        <v>22</v>
      </c>
      <c r="K65" s="2">
        <v>30</v>
      </c>
      <c r="L65" s="2">
        <v>1</v>
      </c>
      <c r="M65" s="3">
        <v>800</v>
      </c>
    </row>
    <row r="66" spans="1:13" hidden="1" x14ac:dyDescent="0.35">
      <c r="A66">
        <f t="shared" si="0"/>
        <v>65</v>
      </c>
      <c r="B66" s="2" t="s">
        <v>19</v>
      </c>
      <c r="C66" s="2" t="s">
        <v>27</v>
      </c>
      <c r="D66" s="2" t="s">
        <v>15</v>
      </c>
      <c r="E66" s="2" t="s">
        <v>21</v>
      </c>
      <c r="F66" s="3">
        <v>35000</v>
      </c>
      <c r="G66" s="2" t="s">
        <v>17</v>
      </c>
      <c r="H66" s="3">
        <v>17500</v>
      </c>
      <c r="I66" s="3">
        <v>17500</v>
      </c>
      <c r="J66" s="2" t="s">
        <v>18</v>
      </c>
      <c r="K66" s="2">
        <v>55</v>
      </c>
      <c r="L66" s="2">
        <v>1</v>
      </c>
      <c r="M66" s="3">
        <v>1100</v>
      </c>
    </row>
    <row r="67" spans="1:13" hidden="1" x14ac:dyDescent="0.35">
      <c r="A67">
        <f t="shared" si="0"/>
        <v>66</v>
      </c>
      <c r="B67" s="2" t="s">
        <v>13</v>
      </c>
      <c r="C67" s="2" t="s">
        <v>27</v>
      </c>
      <c r="D67" s="2" t="s">
        <v>30</v>
      </c>
      <c r="E67" s="2" t="s">
        <v>16</v>
      </c>
      <c r="F67" s="3">
        <v>14000</v>
      </c>
      <c r="G67" s="2" t="s">
        <v>25</v>
      </c>
      <c r="H67" s="3">
        <v>7000</v>
      </c>
      <c r="I67" s="3">
        <v>7000</v>
      </c>
      <c r="J67" s="2" t="s">
        <v>22</v>
      </c>
      <c r="K67" s="2">
        <v>40</v>
      </c>
      <c r="L67" s="2">
        <v>1</v>
      </c>
      <c r="M67" s="3">
        <v>850</v>
      </c>
    </row>
    <row r="68" spans="1:13" x14ac:dyDescent="0.35">
      <c r="A68">
        <f t="shared" si="0"/>
        <v>67</v>
      </c>
      <c r="B68" s="2" t="s">
        <v>19</v>
      </c>
      <c r="C68" s="2" t="s">
        <v>27</v>
      </c>
      <c r="D68" s="2" t="s">
        <v>20</v>
      </c>
      <c r="E68" s="2" t="s">
        <v>21</v>
      </c>
      <c r="F68" s="3">
        <v>32000</v>
      </c>
      <c r="G68" s="2" t="s">
        <v>25</v>
      </c>
      <c r="H68" s="3">
        <v>16000</v>
      </c>
      <c r="I68" s="3">
        <v>16000</v>
      </c>
      <c r="J68" s="2" t="s">
        <v>18</v>
      </c>
      <c r="K68" s="2">
        <v>50</v>
      </c>
      <c r="L68" s="2">
        <v>1</v>
      </c>
      <c r="M68" s="3">
        <v>900</v>
      </c>
    </row>
    <row r="69" spans="1:13" hidden="1" x14ac:dyDescent="0.35">
      <c r="A69">
        <f t="shared" si="0"/>
        <v>68</v>
      </c>
      <c r="B69" s="2" t="s">
        <v>13</v>
      </c>
      <c r="C69" s="2" t="s">
        <v>27</v>
      </c>
      <c r="D69" s="2" t="s">
        <v>24</v>
      </c>
      <c r="E69" s="2" t="s">
        <v>16</v>
      </c>
      <c r="F69" s="3">
        <v>20000</v>
      </c>
      <c r="G69" s="2" t="s">
        <v>17</v>
      </c>
      <c r="H69" s="3">
        <v>10000</v>
      </c>
      <c r="I69" s="3">
        <v>10000</v>
      </c>
      <c r="J69" s="2" t="s">
        <v>22</v>
      </c>
      <c r="K69" s="2">
        <v>35</v>
      </c>
      <c r="L69" s="2">
        <v>1</v>
      </c>
      <c r="M69" s="3">
        <v>1200</v>
      </c>
    </row>
    <row r="70" spans="1:13" hidden="1" x14ac:dyDescent="0.35">
      <c r="A70">
        <f t="shared" si="0"/>
        <v>69</v>
      </c>
      <c r="B70" s="2" t="s">
        <v>13</v>
      </c>
      <c r="C70" s="2" t="s">
        <v>27</v>
      </c>
      <c r="D70" s="2" t="s">
        <v>28</v>
      </c>
      <c r="E70" s="2" t="s">
        <v>16</v>
      </c>
      <c r="F70" s="3">
        <v>17000</v>
      </c>
      <c r="G70" s="2" t="s">
        <v>25</v>
      </c>
      <c r="H70" s="3">
        <v>8500</v>
      </c>
      <c r="I70" s="3">
        <v>8500</v>
      </c>
      <c r="J70" s="2" t="s">
        <v>18</v>
      </c>
      <c r="K70" s="2">
        <v>32</v>
      </c>
      <c r="L70" s="2">
        <v>1</v>
      </c>
      <c r="M70" s="3">
        <v>1000</v>
      </c>
    </row>
    <row r="71" spans="1:13" hidden="1" x14ac:dyDescent="0.35">
      <c r="A71">
        <f t="shared" si="0"/>
        <v>70</v>
      </c>
      <c r="B71" s="2" t="s">
        <v>19</v>
      </c>
      <c r="C71" s="2" t="s">
        <v>27</v>
      </c>
      <c r="D71" s="2" t="s">
        <v>26</v>
      </c>
      <c r="E71" s="2" t="s">
        <v>21</v>
      </c>
      <c r="F71" s="3">
        <v>38000</v>
      </c>
      <c r="G71" s="2" t="s">
        <v>17</v>
      </c>
      <c r="H71" s="3">
        <v>19000</v>
      </c>
      <c r="I71" s="3">
        <v>19000</v>
      </c>
      <c r="J71" s="2" t="s">
        <v>22</v>
      </c>
      <c r="K71" s="2">
        <v>48</v>
      </c>
      <c r="L71" s="2">
        <v>1</v>
      </c>
      <c r="M71" s="3">
        <v>1400</v>
      </c>
    </row>
    <row r="72" spans="1:13" hidden="1" x14ac:dyDescent="0.35">
      <c r="A72">
        <f t="shared" si="0"/>
        <v>71</v>
      </c>
      <c r="B72" s="2" t="s">
        <v>13</v>
      </c>
      <c r="C72" s="2" t="s">
        <v>27</v>
      </c>
      <c r="D72" s="2" t="s">
        <v>15</v>
      </c>
      <c r="E72" s="2" t="s">
        <v>16</v>
      </c>
      <c r="F72" s="3">
        <v>15000</v>
      </c>
      <c r="G72" s="2" t="s">
        <v>25</v>
      </c>
      <c r="H72" s="3">
        <v>7500</v>
      </c>
      <c r="I72" s="3">
        <v>7500</v>
      </c>
      <c r="J72" s="2" t="s">
        <v>18</v>
      </c>
      <c r="K72" s="2">
        <v>45</v>
      </c>
      <c r="L72" s="2">
        <v>1</v>
      </c>
      <c r="M72" s="3">
        <v>1300</v>
      </c>
    </row>
    <row r="73" spans="1:13" hidden="1" x14ac:dyDescent="0.35">
      <c r="A73">
        <f t="shared" si="0"/>
        <v>72</v>
      </c>
      <c r="B73" s="2" t="s">
        <v>19</v>
      </c>
      <c r="C73" s="2" t="s">
        <v>27</v>
      </c>
      <c r="D73" s="2" t="s">
        <v>28</v>
      </c>
      <c r="E73" s="2" t="s">
        <v>21</v>
      </c>
      <c r="F73" s="3">
        <v>30000</v>
      </c>
      <c r="G73" s="2" t="s">
        <v>17</v>
      </c>
      <c r="H73" s="3">
        <v>15000</v>
      </c>
      <c r="I73" s="3">
        <v>15000</v>
      </c>
      <c r="J73" s="2" t="s">
        <v>22</v>
      </c>
      <c r="K73" s="2">
        <v>52</v>
      </c>
      <c r="L73" s="2">
        <v>1</v>
      </c>
      <c r="M73" s="3">
        <v>1500</v>
      </c>
    </row>
    <row r="74" spans="1:13" x14ac:dyDescent="0.35">
      <c r="A74">
        <f t="shared" si="0"/>
        <v>73</v>
      </c>
      <c r="B74" s="2" t="s">
        <v>13</v>
      </c>
      <c r="C74" s="2" t="s">
        <v>27</v>
      </c>
      <c r="D74" s="2" t="s">
        <v>20</v>
      </c>
      <c r="E74" s="2" t="s">
        <v>16</v>
      </c>
      <c r="F74" s="3">
        <v>16000</v>
      </c>
      <c r="G74" s="2" t="s">
        <v>25</v>
      </c>
      <c r="H74" s="3">
        <v>8000</v>
      </c>
      <c r="I74" s="3">
        <v>8000</v>
      </c>
      <c r="J74" s="2" t="s">
        <v>18</v>
      </c>
      <c r="K74" s="2">
        <v>28</v>
      </c>
      <c r="L74" s="2">
        <v>1</v>
      </c>
      <c r="M74" s="3">
        <v>1100</v>
      </c>
    </row>
    <row r="75" spans="1:13" hidden="1" x14ac:dyDescent="0.35">
      <c r="A75">
        <f t="shared" si="0"/>
        <v>74</v>
      </c>
      <c r="B75" s="2" t="s">
        <v>13</v>
      </c>
      <c r="C75" s="2" t="s">
        <v>27</v>
      </c>
      <c r="D75" s="2" t="s">
        <v>24</v>
      </c>
      <c r="E75" s="2" t="s">
        <v>16</v>
      </c>
      <c r="F75" s="3">
        <v>20000</v>
      </c>
      <c r="G75" s="2" t="s">
        <v>25</v>
      </c>
      <c r="H75" s="3">
        <v>10000</v>
      </c>
      <c r="I75" s="3">
        <v>10000</v>
      </c>
      <c r="J75" s="2" t="s">
        <v>22</v>
      </c>
      <c r="K75" s="2">
        <v>39</v>
      </c>
      <c r="L75" s="2">
        <v>1</v>
      </c>
      <c r="M75" s="3">
        <v>1200</v>
      </c>
    </row>
    <row r="76" spans="1:13" hidden="1" x14ac:dyDescent="0.35">
      <c r="A76">
        <f t="shared" si="0"/>
        <v>75</v>
      </c>
      <c r="B76" s="2" t="s">
        <v>19</v>
      </c>
      <c r="C76" s="2" t="s">
        <v>27</v>
      </c>
      <c r="D76" s="2" t="s">
        <v>26</v>
      </c>
      <c r="E76" s="2" t="s">
        <v>21</v>
      </c>
      <c r="F76" s="3">
        <v>35000</v>
      </c>
      <c r="G76" s="2" t="s">
        <v>17</v>
      </c>
      <c r="H76" s="3">
        <v>17500</v>
      </c>
      <c r="I76" s="3">
        <v>17500</v>
      </c>
      <c r="J76" s="2" t="s">
        <v>18</v>
      </c>
      <c r="K76" s="2">
        <v>50</v>
      </c>
      <c r="L76" s="2">
        <v>1</v>
      </c>
      <c r="M76" s="3">
        <v>1300</v>
      </c>
    </row>
    <row r="77" spans="1:13" hidden="1" x14ac:dyDescent="0.35">
      <c r="A77">
        <f t="shared" si="0"/>
        <v>76</v>
      </c>
      <c r="B77" s="2" t="s">
        <v>13</v>
      </c>
      <c r="C77" s="2" t="s">
        <v>27</v>
      </c>
      <c r="D77" s="2" t="s">
        <v>15</v>
      </c>
      <c r="E77" s="2" t="s">
        <v>16</v>
      </c>
      <c r="F77" s="3">
        <v>15000</v>
      </c>
      <c r="G77" s="2" t="s">
        <v>17</v>
      </c>
      <c r="H77" s="3">
        <v>7500</v>
      </c>
      <c r="I77" s="3">
        <v>7500</v>
      </c>
      <c r="J77" s="2" t="s">
        <v>22</v>
      </c>
      <c r="K77" s="2">
        <v>35</v>
      </c>
      <c r="L77" s="2">
        <v>1</v>
      </c>
      <c r="M77" s="3">
        <v>1000</v>
      </c>
    </row>
    <row r="78" spans="1:13" hidden="1" x14ac:dyDescent="0.35">
      <c r="A78">
        <f t="shared" si="0"/>
        <v>77</v>
      </c>
      <c r="B78" s="2" t="s">
        <v>19</v>
      </c>
      <c r="C78" s="2" t="s">
        <v>27</v>
      </c>
      <c r="D78" s="2" t="s">
        <v>28</v>
      </c>
      <c r="E78" s="2" t="s">
        <v>21</v>
      </c>
      <c r="F78" s="3">
        <v>32000</v>
      </c>
      <c r="G78" s="2" t="s">
        <v>25</v>
      </c>
      <c r="H78" s="3">
        <v>16000</v>
      </c>
      <c r="I78" s="3">
        <v>16000</v>
      </c>
      <c r="J78" s="2" t="s">
        <v>18</v>
      </c>
      <c r="K78" s="2">
        <v>42</v>
      </c>
      <c r="L78" s="2">
        <v>1</v>
      </c>
      <c r="M78" s="3">
        <v>1200</v>
      </c>
    </row>
    <row r="79" spans="1:13" x14ac:dyDescent="0.35">
      <c r="A79">
        <f t="shared" si="0"/>
        <v>78</v>
      </c>
      <c r="B79" s="2" t="s">
        <v>13</v>
      </c>
      <c r="C79" s="2" t="s">
        <v>27</v>
      </c>
      <c r="D79" s="2" t="s">
        <v>20</v>
      </c>
      <c r="E79" s="2" t="s">
        <v>16</v>
      </c>
      <c r="F79" s="3">
        <v>18000</v>
      </c>
      <c r="G79" s="2" t="s">
        <v>25</v>
      </c>
      <c r="H79" s="3">
        <v>9000</v>
      </c>
      <c r="I79" s="3">
        <v>9000</v>
      </c>
      <c r="J79" s="2" t="s">
        <v>22</v>
      </c>
      <c r="K79" s="2">
        <v>28</v>
      </c>
      <c r="L79" s="2">
        <v>1</v>
      </c>
      <c r="M79" s="3">
        <v>900</v>
      </c>
    </row>
    <row r="80" spans="1:13" hidden="1" x14ac:dyDescent="0.35">
      <c r="A80">
        <f t="shared" si="0"/>
        <v>79</v>
      </c>
      <c r="B80" s="2" t="s">
        <v>13</v>
      </c>
      <c r="C80" s="2" t="s">
        <v>27</v>
      </c>
      <c r="D80" s="2" t="s">
        <v>24</v>
      </c>
      <c r="E80" s="2" t="s">
        <v>16</v>
      </c>
      <c r="F80" s="3">
        <v>20000</v>
      </c>
      <c r="G80" s="2" t="s">
        <v>17</v>
      </c>
      <c r="H80" s="3">
        <v>10000</v>
      </c>
      <c r="I80" s="3">
        <v>10000</v>
      </c>
      <c r="J80" s="2" t="s">
        <v>18</v>
      </c>
      <c r="K80" s="2">
        <v>35</v>
      </c>
      <c r="L80" s="2">
        <v>1</v>
      </c>
      <c r="M80" s="3">
        <v>1000</v>
      </c>
    </row>
    <row r="81" spans="1:13" hidden="1" x14ac:dyDescent="0.35">
      <c r="A81">
        <f t="shared" si="0"/>
        <v>80</v>
      </c>
      <c r="B81" s="2" t="s">
        <v>19</v>
      </c>
      <c r="C81" s="2" t="s">
        <v>27</v>
      </c>
      <c r="D81" s="2" t="s">
        <v>26</v>
      </c>
      <c r="E81" s="2" t="s">
        <v>21</v>
      </c>
      <c r="F81" s="3">
        <v>40000</v>
      </c>
      <c r="G81" s="2" t="s">
        <v>25</v>
      </c>
      <c r="H81" s="3">
        <v>20000</v>
      </c>
      <c r="I81" s="3">
        <v>20000</v>
      </c>
      <c r="J81" s="2" t="s">
        <v>22</v>
      </c>
      <c r="K81" s="2">
        <v>50</v>
      </c>
      <c r="L81" s="2">
        <v>1</v>
      </c>
      <c r="M81" s="3">
        <v>1500</v>
      </c>
    </row>
    <row r="82" spans="1:13" hidden="1" x14ac:dyDescent="0.35">
      <c r="A82">
        <f t="shared" si="0"/>
        <v>81</v>
      </c>
      <c r="B82" s="2" t="s">
        <v>13</v>
      </c>
      <c r="C82" s="2" t="s">
        <v>27</v>
      </c>
      <c r="D82" s="2" t="s">
        <v>15</v>
      </c>
      <c r="E82" s="2" t="s">
        <v>16</v>
      </c>
      <c r="F82" s="3">
        <v>16000</v>
      </c>
      <c r="G82" s="2" t="s">
        <v>25</v>
      </c>
      <c r="H82" s="3">
        <v>8000</v>
      </c>
      <c r="I82" s="3">
        <v>8000</v>
      </c>
      <c r="J82" s="2" t="s">
        <v>18</v>
      </c>
      <c r="K82" s="2">
        <v>32</v>
      </c>
      <c r="L82" s="2">
        <v>1</v>
      </c>
      <c r="M82" s="3">
        <v>900</v>
      </c>
    </row>
    <row r="83" spans="1:13" hidden="1" x14ac:dyDescent="0.35">
      <c r="A83">
        <f t="shared" si="0"/>
        <v>82</v>
      </c>
      <c r="B83" s="2" t="s">
        <v>19</v>
      </c>
      <c r="C83" s="2" t="s">
        <v>27</v>
      </c>
      <c r="D83" s="2" t="s">
        <v>28</v>
      </c>
      <c r="E83" s="2" t="s">
        <v>21</v>
      </c>
      <c r="F83" s="3">
        <v>30000</v>
      </c>
      <c r="G83" s="2" t="s">
        <v>17</v>
      </c>
      <c r="H83" s="3">
        <v>15000</v>
      </c>
      <c r="I83" s="3">
        <v>15000</v>
      </c>
      <c r="J83" s="2" t="s">
        <v>22</v>
      </c>
      <c r="K83" s="2">
        <v>50</v>
      </c>
      <c r="L83" s="2">
        <v>1</v>
      </c>
      <c r="M83" s="3">
        <v>800</v>
      </c>
    </row>
    <row r="84" spans="1:13" x14ac:dyDescent="0.35">
      <c r="A84">
        <f t="shared" si="0"/>
        <v>83</v>
      </c>
      <c r="B84" s="2" t="s">
        <v>13</v>
      </c>
      <c r="C84" s="2" t="s">
        <v>27</v>
      </c>
      <c r="D84" s="2" t="s">
        <v>20</v>
      </c>
      <c r="E84" s="2" t="s">
        <v>16</v>
      </c>
      <c r="F84" s="3">
        <v>20000</v>
      </c>
      <c r="G84" s="2" t="s">
        <v>17</v>
      </c>
      <c r="H84" s="3">
        <v>10000</v>
      </c>
      <c r="I84" s="3">
        <v>10000</v>
      </c>
      <c r="J84" s="2" t="s">
        <v>18</v>
      </c>
      <c r="K84" s="2">
        <v>45</v>
      </c>
      <c r="L84" s="2">
        <v>1</v>
      </c>
      <c r="M84" s="3">
        <v>700</v>
      </c>
    </row>
    <row r="85" spans="1:13" hidden="1" x14ac:dyDescent="0.35">
      <c r="A85">
        <f t="shared" si="0"/>
        <v>84</v>
      </c>
      <c r="B85" s="2" t="s">
        <v>19</v>
      </c>
      <c r="C85" s="2" t="s">
        <v>27</v>
      </c>
      <c r="D85" s="2" t="s">
        <v>24</v>
      </c>
      <c r="E85" s="2" t="s">
        <v>21</v>
      </c>
      <c r="F85" s="3">
        <v>35000</v>
      </c>
      <c r="G85" s="2" t="s">
        <v>25</v>
      </c>
      <c r="H85" s="3">
        <v>17500</v>
      </c>
      <c r="I85" s="3">
        <v>17500</v>
      </c>
      <c r="J85" s="2" t="s">
        <v>22</v>
      </c>
      <c r="K85" s="2">
        <v>55</v>
      </c>
      <c r="L85" s="2">
        <v>1</v>
      </c>
      <c r="M85" s="3">
        <v>1300</v>
      </c>
    </row>
    <row r="86" spans="1:13" hidden="1" x14ac:dyDescent="0.35">
      <c r="A86">
        <f t="shared" si="0"/>
        <v>85</v>
      </c>
      <c r="B86" s="2" t="s">
        <v>13</v>
      </c>
      <c r="C86" s="2" t="s">
        <v>27</v>
      </c>
      <c r="D86" s="2" t="s">
        <v>26</v>
      </c>
      <c r="E86" s="2" t="s">
        <v>16</v>
      </c>
      <c r="F86" s="3">
        <v>18000</v>
      </c>
      <c r="G86" s="2" t="s">
        <v>17</v>
      </c>
      <c r="H86" s="3">
        <v>9000</v>
      </c>
      <c r="I86" s="3">
        <v>9000</v>
      </c>
      <c r="J86" s="2" t="s">
        <v>18</v>
      </c>
      <c r="K86" s="2">
        <v>38</v>
      </c>
      <c r="L86" s="2">
        <v>1</v>
      </c>
      <c r="M86" s="3">
        <v>1500</v>
      </c>
    </row>
    <row r="87" spans="1:13" hidden="1" x14ac:dyDescent="0.35">
      <c r="A87">
        <f t="shared" si="0"/>
        <v>86</v>
      </c>
      <c r="B87" s="2" t="s">
        <v>13</v>
      </c>
      <c r="C87" s="2" t="s">
        <v>27</v>
      </c>
      <c r="D87" s="2" t="s">
        <v>15</v>
      </c>
      <c r="E87" s="2" t="s">
        <v>16</v>
      </c>
      <c r="F87" s="3">
        <v>15000</v>
      </c>
      <c r="G87" s="2" t="s">
        <v>25</v>
      </c>
      <c r="H87" s="3">
        <v>7500</v>
      </c>
      <c r="I87" s="3">
        <v>7500</v>
      </c>
      <c r="J87" s="2" t="s">
        <v>22</v>
      </c>
      <c r="K87" s="2">
        <v>45</v>
      </c>
      <c r="L87" s="2">
        <v>1</v>
      </c>
      <c r="M87" s="3">
        <v>800</v>
      </c>
    </row>
    <row r="88" spans="1:13" hidden="1" x14ac:dyDescent="0.35">
      <c r="A88">
        <f t="shared" ref="A88:A151" si="1">A87+1</f>
        <v>87</v>
      </c>
      <c r="B88" s="2" t="s">
        <v>19</v>
      </c>
      <c r="C88" s="2" t="s">
        <v>27</v>
      </c>
      <c r="D88" s="2" t="s">
        <v>28</v>
      </c>
      <c r="E88" s="2" t="s">
        <v>21</v>
      </c>
      <c r="F88" s="3">
        <v>30000</v>
      </c>
      <c r="G88" s="2" t="s">
        <v>17</v>
      </c>
      <c r="H88" s="3">
        <v>15000</v>
      </c>
      <c r="I88" s="3">
        <v>15000</v>
      </c>
      <c r="J88" s="2" t="s">
        <v>18</v>
      </c>
      <c r="K88" s="2">
        <v>52</v>
      </c>
      <c r="L88" s="2">
        <v>1</v>
      </c>
      <c r="M88" s="3">
        <v>700</v>
      </c>
    </row>
    <row r="89" spans="1:13" x14ac:dyDescent="0.35">
      <c r="A89">
        <f t="shared" si="1"/>
        <v>88</v>
      </c>
      <c r="B89" s="2" t="s">
        <v>13</v>
      </c>
      <c r="C89" s="2" t="s">
        <v>27</v>
      </c>
      <c r="D89" s="2" t="s">
        <v>20</v>
      </c>
      <c r="E89" s="2" t="s">
        <v>16</v>
      </c>
      <c r="F89" s="3">
        <v>16000</v>
      </c>
      <c r="G89" s="2" t="s">
        <v>25</v>
      </c>
      <c r="H89" s="3">
        <v>8000</v>
      </c>
      <c r="I89" s="3">
        <v>8000</v>
      </c>
      <c r="J89" s="2" t="s">
        <v>22</v>
      </c>
      <c r="K89" s="2">
        <v>42</v>
      </c>
      <c r="L89" s="2">
        <v>1</v>
      </c>
      <c r="M89" s="3">
        <v>900</v>
      </c>
    </row>
    <row r="90" spans="1:13" hidden="1" x14ac:dyDescent="0.35">
      <c r="A90">
        <f t="shared" si="1"/>
        <v>89</v>
      </c>
      <c r="B90" s="2" t="s">
        <v>13</v>
      </c>
      <c r="C90" s="2" t="s">
        <v>27</v>
      </c>
      <c r="D90" s="2" t="s">
        <v>24</v>
      </c>
      <c r="E90" s="2" t="s">
        <v>16</v>
      </c>
      <c r="F90" s="3">
        <v>20000</v>
      </c>
      <c r="G90" s="2" t="s">
        <v>25</v>
      </c>
      <c r="H90" s="3">
        <v>10000</v>
      </c>
      <c r="I90" s="3">
        <v>10000</v>
      </c>
      <c r="J90" s="2" t="s">
        <v>18</v>
      </c>
      <c r="K90" s="2">
        <v>35</v>
      </c>
      <c r="L90" s="2">
        <v>1</v>
      </c>
      <c r="M90" s="3">
        <v>1200</v>
      </c>
    </row>
    <row r="91" spans="1:13" hidden="1" x14ac:dyDescent="0.35">
      <c r="A91">
        <f t="shared" si="1"/>
        <v>90</v>
      </c>
      <c r="B91" s="2" t="s">
        <v>19</v>
      </c>
      <c r="C91" s="2" t="s">
        <v>27</v>
      </c>
      <c r="D91" s="2" t="s">
        <v>26</v>
      </c>
      <c r="E91" s="2" t="s">
        <v>21</v>
      </c>
      <c r="F91" s="3">
        <v>40000</v>
      </c>
      <c r="G91" s="2" t="s">
        <v>17</v>
      </c>
      <c r="H91" s="3">
        <v>20000</v>
      </c>
      <c r="I91" s="3">
        <v>20000</v>
      </c>
      <c r="J91" s="2" t="s">
        <v>22</v>
      </c>
      <c r="K91" s="2">
        <v>48</v>
      </c>
      <c r="L91" s="2">
        <v>1</v>
      </c>
      <c r="M91" s="3">
        <v>1500</v>
      </c>
    </row>
    <row r="92" spans="1:13" hidden="1" x14ac:dyDescent="0.35">
      <c r="A92">
        <f t="shared" si="1"/>
        <v>91</v>
      </c>
      <c r="B92" s="2" t="s">
        <v>13</v>
      </c>
      <c r="C92" s="2" t="s">
        <v>27</v>
      </c>
      <c r="D92" s="2" t="s">
        <v>15</v>
      </c>
      <c r="E92" s="2" t="s">
        <v>16</v>
      </c>
      <c r="F92" s="3">
        <v>15000</v>
      </c>
      <c r="G92" s="2" t="s">
        <v>25</v>
      </c>
      <c r="H92" s="3">
        <v>7500</v>
      </c>
      <c r="I92" s="3">
        <v>7500</v>
      </c>
      <c r="J92" s="2" t="s">
        <v>18</v>
      </c>
      <c r="K92" s="2">
        <v>42</v>
      </c>
      <c r="L92" s="2">
        <v>1</v>
      </c>
      <c r="M92" s="3">
        <v>1000</v>
      </c>
    </row>
    <row r="93" spans="1:13" hidden="1" x14ac:dyDescent="0.35">
      <c r="A93">
        <f t="shared" si="1"/>
        <v>92</v>
      </c>
      <c r="B93" s="2" t="s">
        <v>19</v>
      </c>
      <c r="C93" s="2" t="s">
        <v>27</v>
      </c>
      <c r="D93" s="2" t="s">
        <v>28</v>
      </c>
      <c r="E93" s="2" t="s">
        <v>21</v>
      </c>
      <c r="F93" s="3">
        <v>32000</v>
      </c>
      <c r="G93" s="2" t="s">
        <v>17</v>
      </c>
      <c r="H93" s="3">
        <v>16000</v>
      </c>
      <c r="I93" s="3">
        <v>16000</v>
      </c>
      <c r="J93" s="2" t="s">
        <v>22</v>
      </c>
      <c r="K93" s="2">
        <v>50</v>
      </c>
      <c r="L93" s="2">
        <v>1</v>
      </c>
      <c r="M93" s="3">
        <v>1200</v>
      </c>
    </row>
    <row r="94" spans="1:13" x14ac:dyDescent="0.35">
      <c r="A94">
        <f t="shared" si="1"/>
        <v>93</v>
      </c>
      <c r="B94" s="2" t="s">
        <v>13</v>
      </c>
      <c r="C94" s="2" t="s">
        <v>27</v>
      </c>
      <c r="D94" s="2" t="s">
        <v>20</v>
      </c>
      <c r="E94" s="2" t="s">
        <v>16</v>
      </c>
      <c r="F94" s="3">
        <v>18000</v>
      </c>
      <c r="G94" s="2" t="s">
        <v>25</v>
      </c>
      <c r="H94" s="3">
        <v>9000</v>
      </c>
      <c r="I94" s="3">
        <v>9000</v>
      </c>
      <c r="J94" s="2" t="s">
        <v>18</v>
      </c>
      <c r="K94" s="2">
        <v>28</v>
      </c>
      <c r="L94" s="2">
        <v>1</v>
      </c>
      <c r="M94" s="3">
        <v>900</v>
      </c>
    </row>
    <row r="95" spans="1:13" hidden="1" x14ac:dyDescent="0.35">
      <c r="A95">
        <f t="shared" si="1"/>
        <v>94</v>
      </c>
      <c r="B95" s="2" t="s">
        <v>19</v>
      </c>
      <c r="C95" s="2" t="s">
        <v>27</v>
      </c>
      <c r="D95" s="2" t="s">
        <v>24</v>
      </c>
      <c r="E95" s="2" t="s">
        <v>21</v>
      </c>
      <c r="F95" s="3">
        <v>35000</v>
      </c>
      <c r="G95" s="2" t="s">
        <v>25</v>
      </c>
      <c r="H95" s="3">
        <v>17500</v>
      </c>
      <c r="I95" s="3">
        <v>17500</v>
      </c>
      <c r="J95" s="2" t="s">
        <v>22</v>
      </c>
      <c r="K95" s="2">
        <v>55</v>
      </c>
      <c r="L95" s="2">
        <v>1</v>
      </c>
      <c r="M95" s="3">
        <v>1300</v>
      </c>
    </row>
    <row r="96" spans="1:13" hidden="1" x14ac:dyDescent="0.35">
      <c r="A96">
        <f t="shared" si="1"/>
        <v>95</v>
      </c>
      <c r="B96" s="2" t="s">
        <v>13</v>
      </c>
      <c r="C96" s="2" t="s">
        <v>27</v>
      </c>
      <c r="D96" s="2" t="s">
        <v>26</v>
      </c>
      <c r="E96" s="2" t="s">
        <v>16</v>
      </c>
      <c r="F96" s="3">
        <v>16000</v>
      </c>
      <c r="G96" s="2" t="s">
        <v>17</v>
      </c>
      <c r="H96" s="3">
        <v>8000</v>
      </c>
      <c r="I96" s="3">
        <v>8000</v>
      </c>
      <c r="J96" s="2" t="s">
        <v>18</v>
      </c>
      <c r="K96" s="2">
        <v>32</v>
      </c>
      <c r="L96" s="2">
        <v>1</v>
      </c>
      <c r="M96" s="3">
        <v>700</v>
      </c>
    </row>
    <row r="97" spans="1:13" hidden="1" x14ac:dyDescent="0.35">
      <c r="A97">
        <f t="shared" si="1"/>
        <v>96</v>
      </c>
      <c r="B97" s="2" t="s">
        <v>13</v>
      </c>
      <c r="C97" s="2" t="s">
        <v>27</v>
      </c>
      <c r="D97" s="2" t="s">
        <v>15</v>
      </c>
      <c r="E97" s="2" t="s">
        <v>16</v>
      </c>
      <c r="F97" s="3">
        <v>15000</v>
      </c>
      <c r="G97" s="2" t="s">
        <v>25</v>
      </c>
      <c r="H97" s="3">
        <v>7500</v>
      </c>
      <c r="I97" s="3">
        <v>7500</v>
      </c>
      <c r="J97" s="2" t="s">
        <v>22</v>
      </c>
      <c r="K97" s="2">
        <v>28</v>
      </c>
      <c r="L97" s="2">
        <v>1</v>
      </c>
      <c r="M97" s="3">
        <v>1100</v>
      </c>
    </row>
    <row r="98" spans="1:13" hidden="1" x14ac:dyDescent="0.35">
      <c r="A98">
        <f t="shared" si="1"/>
        <v>97</v>
      </c>
      <c r="B98" s="2" t="s">
        <v>19</v>
      </c>
      <c r="C98" s="2" t="s">
        <v>27</v>
      </c>
      <c r="D98" s="2" t="s">
        <v>28</v>
      </c>
      <c r="E98" s="2" t="s">
        <v>21</v>
      </c>
      <c r="F98" s="3">
        <v>30000</v>
      </c>
      <c r="G98" s="2" t="s">
        <v>17</v>
      </c>
      <c r="H98" s="3">
        <v>15000</v>
      </c>
      <c r="I98" s="3">
        <v>15000</v>
      </c>
      <c r="J98" s="2" t="s">
        <v>18</v>
      </c>
      <c r="K98" s="2">
        <v>42</v>
      </c>
      <c r="L98" s="2">
        <v>1</v>
      </c>
      <c r="M98" s="3">
        <v>800</v>
      </c>
    </row>
    <row r="99" spans="1:13" x14ac:dyDescent="0.35">
      <c r="A99">
        <f t="shared" si="1"/>
        <v>98</v>
      </c>
      <c r="B99" s="2" t="s">
        <v>13</v>
      </c>
      <c r="C99" s="2" t="s">
        <v>27</v>
      </c>
      <c r="D99" s="2" t="s">
        <v>20</v>
      </c>
      <c r="E99" s="2" t="s">
        <v>16</v>
      </c>
      <c r="F99" s="3">
        <v>20000</v>
      </c>
      <c r="G99" s="2" t="s">
        <v>25</v>
      </c>
      <c r="H99" s="3">
        <v>10000</v>
      </c>
      <c r="I99" s="3">
        <v>10000</v>
      </c>
      <c r="J99" s="2" t="s">
        <v>22</v>
      </c>
      <c r="K99" s="2">
        <v>45</v>
      </c>
      <c r="L99" s="2">
        <v>1</v>
      </c>
      <c r="M99" s="3">
        <v>900</v>
      </c>
    </row>
    <row r="100" spans="1:13" hidden="1" x14ac:dyDescent="0.35">
      <c r="A100">
        <f t="shared" si="1"/>
        <v>99</v>
      </c>
      <c r="B100" s="2" t="s">
        <v>13</v>
      </c>
      <c r="C100" s="2" t="s">
        <v>27</v>
      </c>
      <c r="D100" s="2" t="s">
        <v>24</v>
      </c>
      <c r="E100" s="2" t="s">
        <v>16</v>
      </c>
      <c r="F100" s="3">
        <v>16000</v>
      </c>
      <c r="G100" s="2" t="s">
        <v>17</v>
      </c>
      <c r="H100" s="3">
        <v>8000</v>
      </c>
      <c r="I100" s="3">
        <v>8000</v>
      </c>
      <c r="J100" s="2" t="s">
        <v>18</v>
      </c>
      <c r="K100" s="2">
        <v>38</v>
      </c>
      <c r="L100" s="2">
        <v>1</v>
      </c>
      <c r="M100" s="3">
        <v>700</v>
      </c>
    </row>
    <row r="101" spans="1:13" hidden="1" x14ac:dyDescent="0.35">
      <c r="A101">
        <f t="shared" si="1"/>
        <v>100</v>
      </c>
      <c r="B101" s="2" t="s">
        <v>19</v>
      </c>
      <c r="C101" s="2" t="s">
        <v>27</v>
      </c>
      <c r="D101" s="2" t="s">
        <v>26</v>
      </c>
      <c r="E101" s="2" t="s">
        <v>21</v>
      </c>
      <c r="F101" s="3">
        <v>35000</v>
      </c>
      <c r="G101" s="2" t="s">
        <v>25</v>
      </c>
      <c r="H101" s="3">
        <v>17500</v>
      </c>
      <c r="I101" s="3">
        <v>17500</v>
      </c>
      <c r="J101" s="2" t="s">
        <v>22</v>
      </c>
      <c r="K101" s="2">
        <v>50</v>
      </c>
      <c r="L101" s="2">
        <v>1</v>
      </c>
      <c r="M101" s="3">
        <v>800</v>
      </c>
    </row>
    <row r="102" spans="1:13" hidden="1" x14ac:dyDescent="0.35">
      <c r="A102">
        <f t="shared" si="1"/>
        <v>101</v>
      </c>
      <c r="B102" s="2" t="s">
        <v>13</v>
      </c>
      <c r="C102" s="2" t="s">
        <v>27</v>
      </c>
      <c r="D102" s="2" t="s">
        <v>15</v>
      </c>
      <c r="E102" s="2" t="s">
        <v>16</v>
      </c>
      <c r="F102" s="3">
        <v>15000</v>
      </c>
      <c r="G102" s="2" t="s">
        <v>17</v>
      </c>
      <c r="H102" s="3">
        <v>7500</v>
      </c>
      <c r="I102" s="3">
        <v>7500</v>
      </c>
      <c r="J102" s="2" t="s">
        <v>18</v>
      </c>
      <c r="K102" s="2">
        <v>35</v>
      </c>
      <c r="L102" s="2">
        <v>1</v>
      </c>
      <c r="M102" s="3">
        <v>1000</v>
      </c>
    </row>
    <row r="103" spans="1:13" hidden="1" x14ac:dyDescent="0.35">
      <c r="A103">
        <f t="shared" si="1"/>
        <v>102</v>
      </c>
      <c r="B103" s="2" t="s">
        <v>19</v>
      </c>
      <c r="C103" s="2" t="s">
        <v>27</v>
      </c>
      <c r="D103" s="2" t="s">
        <v>28</v>
      </c>
      <c r="E103" s="2" t="s">
        <v>21</v>
      </c>
      <c r="F103" s="3">
        <v>30000</v>
      </c>
      <c r="G103" s="2" t="s">
        <v>25</v>
      </c>
      <c r="H103" s="3">
        <v>15000</v>
      </c>
      <c r="I103" s="3">
        <v>15000</v>
      </c>
      <c r="J103" s="2" t="s">
        <v>22</v>
      </c>
      <c r="K103" s="2">
        <v>42</v>
      </c>
      <c r="L103" s="2">
        <v>1</v>
      </c>
      <c r="M103" s="3">
        <v>1200</v>
      </c>
    </row>
    <row r="104" spans="1:13" x14ac:dyDescent="0.35">
      <c r="A104">
        <f t="shared" si="1"/>
        <v>103</v>
      </c>
      <c r="B104" s="2" t="s">
        <v>13</v>
      </c>
      <c r="C104" s="2" t="s">
        <v>27</v>
      </c>
      <c r="D104" s="2" t="s">
        <v>20</v>
      </c>
      <c r="E104" s="2" t="s">
        <v>16</v>
      </c>
      <c r="F104" s="3">
        <v>18000</v>
      </c>
      <c r="G104" s="2" t="s">
        <v>25</v>
      </c>
      <c r="H104" s="3">
        <v>9000</v>
      </c>
      <c r="I104" s="3">
        <v>9000</v>
      </c>
      <c r="J104" s="2" t="s">
        <v>18</v>
      </c>
      <c r="K104" s="2">
        <v>28</v>
      </c>
      <c r="L104" s="2">
        <v>1</v>
      </c>
      <c r="M104" s="3">
        <v>900</v>
      </c>
    </row>
    <row r="105" spans="1:13" hidden="1" x14ac:dyDescent="0.35">
      <c r="A105">
        <f t="shared" si="1"/>
        <v>104</v>
      </c>
      <c r="B105" s="2" t="s">
        <v>19</v>
      </c>
      <c r="C105" s="2" t="s">
        <v>27</v>
      </c>
      <c r="D105" s="2" t="s">
        <v>24</v>
      </c>
      <c r="E105" s="2" t="s">
        <v>21</v>
      </c>
      <c r="F105" s="3">
        <v>40000</v>
      </c>
      <c r="G105" s="2" t="s">
        <v>17</v>
      </c>
      <c r="H105" s="3">
        <v>20000</v>
      </c>
      <c r="I105" s="3">
        <v>20000</v>
      </c>
      <c r="J105" s="2" t="s">
        <v>22</v>
      </c>
      <c r="K105" s="2">
        <v>55</v>
      </c>
      <c r="L105" s="2">
        <v>1</v>
      </c>
      <c r="M105" s="3">
        <v>1100</v>
      </c>
    </row>
    <row r="106" spans="1:13" hidden="1" x14ac:dyDescent="0.35">
      <c r="A106">
        <f t="shared" si="1"/>
        <v>105</v>
      </c>
      <c r="B106" s="2" t="s">
        <v>13</v>
      </c>
      <c r="C106" s="2" t="s">
        <v>27</v>
      </c>
      <c r="D106" s="2" t="s">
        <v>26</v>
      </c>
      <c r="E106" s="2" t="s">
        <v>16</v>
      </c>
      <c r="F106" s="3">
        <v>17000</v>
      </c>
      <c r="G106" s="2" t="s">
        <v>25</v>
      </c>
      <c r="H106" s="3">
        <v>8500</v>
      </c>
      <c r="I106" s="3">
        <v>8500</v>
      </c>
      <c r="J106" s="2" t="s">
        <v>18</v>
      </c>
      <c r="K106" s="2">
        <v>45</v>
      </c>
      <c r="L106" s="2">
        <v>1</v>
      </c>
      <c r="M106" s="3">
        <v>1500</v>
      </c>
    </row>
    <row r="107" spans="1:13" hidden="1" x14ac:dyDescent="0.35">
      <c r="A107">
        <f t="shared" si="1"/>
        <v>106</v>
      </c>
      <c r="B107" s="2" t="s">
        <v>13</v>
      </c>
      <c r="C107" s="2" t="s">
        <v>27</v>
      </c>
      <c r="D107" s="2" t="s">
        <v>15</v>
      </c>
      <c r="E107" s="2" t="s">
        <v>16</v>
      </c>
      <c r="F107" s="3">
        <v>15000</v>
      </c>
      <c r="G107" s="2" t="s">
        <v>17</v>
      </c>
      <c r="H107" s="3">
        <v>7500</v>
      </c>
      <c r="I107" s="3">
        <v>7500</v>
      </c>
      <c r="J107" s="2" t="s">
        <v>22</v>
      </c>
      <c r="K107" s="2">
        <v>32</v>
      </c>
      <c r="L107" s="2">
        <v>1</v>
      </c>
      <c r="M107" s="3">
        <v>1200</v>
      </c>
    </row>
    <row r="108" spans="1:13" hidden="1" x14ac:dyDescent="0.35">
      <c r="A108">
        <f t="shared" si="1"/>
        <v>107</v>
      </c>
      <c r="B108" s="2" t="s">
        <v>19</v>
      </c>
      <c r="C108" s="2" t="s">
        <v>27</v>
      </c>
      <c r="D108" s="2" t="s">
        <v>28</v>
      </c>
      <c r="E108" s="2" t="s">
        <v>21</v>
      </c>
      <c r="F108" s="3">
        <v>35000</v>
      </c>
      <c r="G108" s="2" t="s">
        <v>25</v>
      </c>
      <c r="H108" s="3">
        <v>17500</v>
      </c>
      <c r="I108" s="3">
        <v>17500</v>
      </c>
      <c r="J108" s="2" t="s">
        <v>18</v>
      </c>
      <c r="K108" s="2">
        <v>55</v>
      </c>
      <c r="L108" s="2">
        <v>1</v>
      </c>
      <c r="M108" s="3">
        <v>1400</v>
      </c>
    </row>
    <row r="109" spans="1:13" x14ac:dyDescent="0.35">
      <c r="A109">
        <f t="shared" si="1"/>
        <v>108</v>
      </c>
      <c r="B109" s="2" t="s">
        <v>13</v>
      </c>
      <c r="C109" s="2" t="s">
        <v>27</v>
      </c>
      <c r="D109" s="2" t="s">
        <v>20</v>
      </c>
      <c r="E109" s="2" t="s">
        <v>16</v>
      </c>
      <c r="F109" s="3">
        <v>20000</v>
      </c>
      <c r="G109" s="2" t="s">
        <v>25</v>
      </c>
      <c r="H109" s="3">
        <v>10000</v>
      </c>
      <c r="I109" s="3">
        <v>10000</v>
      </c>
      <c r="J109" s="2" t="s">
        <v>22</v>
      </c>
      <c r="K109" s="2">
        <v>30</v>
      </c>
      <c r="L109" s="2">
        <v>1</v>
      </c>
      <c r="M109" s="3">
        <v>700</v>
      </c>
    </row>
    <row r="110" spans="1:13" hidden="1" x14ac:dyDescent="0.35">
      <c r="A110">
        <f t="shared" si="1"/>
        <v>109</v>
      </c>
      <c r="B110" s="2" t="s">
        <v>19</v>
      </c>
      <c r="C110" s="2" t="s">
        <v>27</v>
      </c>
      <c r="D110" s="2" t="s">
        <v>24</v>
      </c>
      <c r="E110" s="2" t="s">
        <v>21</v>
      </c>
      <c r="F110" s="3">
        <v>38000</v>
      </c>
      <c r="G110" s="2" t="s">
        <v>17</v>
      </c>
      <c r="H110" s="3">
        <v>19000</v>
      </c>
      <c r="I110" s="3">
        <v>19000</v>
      </c>
      <c r="J110" s="2" t="s">
        <v>18</v>
      </c>
      <c r="K110" s="2">
        <v>48</v>
      </c>
      <c r="L110" s="2">
        <v>1</v>
      </c>
      <c r="M110" s="3">
        <v>900</v>
      </c>
    </row>
    <row r="111" spans="1:13" hidden="1" x14ac:dyDescent="0.35">
      <c r="A111">
        <f t="shared" si="1"/>
        <v>110</v>
      </c>
      <c r="B111" s="2" t="s">
        <v>13</v>
      </c>
      <c r="C111" s="2" t="s">
        <v>27</v>
      </c>
      <c r="D111" s="2" t="s">
        <v>26</v>
      </c>
      <c r="E111" s="2" t="s">
        <v>16</v>
      </c>
      <c r="F111" s="3">
        <v>16000</v>
      </c>
      <c r="G111" s="2" t="s">
        <v>25</v>
      </c>
      <c r="H111" s="3">
        <v>8000</v>
      </c>
      <c r="I111" s="3">
        <v>8000</v>
      </c>
      <c r="J111" s="2" t="s">
        <v>22</v>
      </c>
      <c r="K111" s="2">
        <v>39</v>
      </c>
      <c r="L111" s="2">
        <v>1</v>
      </c>
      <c r="M111" s="3">
        <v>1500</v>
      </c>
    </row>
    <row r="112" spans="1:13" hidden="1" x14ac:dyDescent="0.35">
      <c r="A112">
        <f t="shared" si="1"/>
        <v>111</v>
      </c>
      <c r="B112" s="2" t="s">
        <v>13</v>
      </c>
      <c r="C112" s="2" t="s">
        <v>14</v>
      </c>
      <c r="D112" s="2" t="s">
        <v>24</v>
      </c>
      <c r="E112" s="2" t="s">
        <v>16</v>
      </c>
      <c r="F112" s="3">
        <v>15000000</v>
      </c>
      <c r="G112" s="2" t="s">
        <v>25</v>
      </c>
      <c r="H112" s="3">
        <v>150000</v>
      </c>
      <c r="I112" s="3">
        <v>150000</v>
      </c>
      <c r="J112" s="2" t="s">
        <v>18</v>
      </c>
      <c r="K112" s="2">
        <v>45</v>
      </c>
      <c r="L112" s="2">
        <v>1</v>
      </c>
      <c r="M112" s="3">
        <v>2000</v>
      </c>
    </row>
    <row r="113" spans="1:13" hidden="1" x14ac:dyDescent="0.35">
      <c r="A113">
        <f t="shared" si="1"/>
        <v>112</v>
      </c>
      <c r="B113" s="2" t="s">
        <v>19</v>
      </c>
      <c r="C113" s="2" t="s">
        <v>14</v>
      </c>
      <c r="D113" s="2" t="s">
        <v>15</v>
      </c>
      <c r="E113" s="2" t="s">
        <v>21</v>
      </c>
      <c r="F113" s="3">
        <v>3500000</v>
      </c>
      <c r="G113" s="2" t="s">
        <v>17</v>
      </c>
      <c r="H113" s="3">
        <v>35000</v>
      </c>
      <c r="I113" s="3">
        <v>35000</v>
      </c>
      <c r="J113" s="2" t="s">
        <v>22</v>
      </c>
      <c r="K113" s="2">
        <v>52</v>
      </c>
      <c r="L113" s="2">
        <v>1</v>
      </c>
      <c r="M113" s="3">
        <v>1500</v>
      </c>
    </row>
    <row r="114" spans="1:13" x14ac:dyDescent="0.35">
      <c r="A114">
        <f t="shared" si="1"/>
        <v>113</v>
      </c>
      <c r="B114" s="2" t="s">
        <v>23</v>
      </c>
      <c r="C114" s="2" t="s">
        <v>14</v>
      </c>
      <c r="D114" s="2" t="s">
        <v>20</v>
      </c>
      <c r="E114" s="2" t="s">
        <v>16</v>
      </c>
      <c r="F114" s="3">
        <v>30000000</v>
      </c>
      <c r="G114" s="2" t="s">
        <v>25</v>
      </c>
      <c r="H114" s="3">
        <v>300000</v>
      </c>
      <c r="I114" s="3">
        <v>300000</v>
      </c>
      <c r="J114" s="2" t="s">
        <v>18</v>
      </c>
      <c r="K114" s="2">
        <v>38</v>
      </c>
      <c r="L114" s="2">
        <v>1</v>
      </c>
      <c r="M114" s="3">
        <v>2500</v>
      </c>
    </row>
    <row r="115" spans="1:13" hidden="1" x14ac:dyDescent="0.35">
      <c r="A115">
        <f t="shared" si="1"/>
        <v>114</v>
      </c>
      <c r="B115" s="2" t="s">
        <v>13</v>
      </c>
      <c r="C115" s="2" t="s">
        <v>14</v>
      </c>
      <c r="D115" s="2" t="s">
        <v>24</v>
      </c>
      <c r="E115" s="2" t="s">
        <v>16</v>
      </c>
      <c r="F115" s="3">
        <v>25000000</v>
      </c>
      <c r="G115" s="2" t="s">
        <v>17</v>
      </c>
      <c r="H115" s="3">
        <v>250000</v>
      </c>
      <c r="I115" s="3">
        <v>250000</v>
      </c>
      <c r="J115" s="2" t="s">
        <v>22</v>
      </c>
      <c r="K115" s="2">
        <v>40</v>
      </c>
      <c r="L115" s="2">
        <v>1</v>
      </c>
      <c r="M115" s="3">
        <v>1800</v>
      </c>
    </row>
    <row r="116" spans="1:13" hidden="1" x14ac:dyDescent="0.35">
      <c r="A116">
        <f t="shared" si="1"/>
        <v>115</v>
      </c>
      <c r="B116" s="2" t="s">
        <v>19</v>
      </c>
      <c r="C116" s="2" t="s">
        <v>14</v>
      </c>
      <c r="D116" s="2" t="s">
        <v>29</v>
      </c>
      <c r="E116" s="2" t="s">
        <v>21</v>
      </c>
      <c r="F116" s="3">
        <v>3000000</v>
      </c>
      <c r="G116" s="2" t="s">
        <v>25</v>
      </c>
      <c r="H116" s="3">
        <v>30000</v>
      </c>
      <c r="I116" s="3">
        <v>30000</v>
      </c>
      <c r="J116" s="2" t="s">
        <v>18</v>
      </c>
      <c r="K116" s="2">
        <v>55</v>
      </c>
      <c r="L116" s="2">
        <v>1</v>
      </c>
      <c r="M116" s="3">
        <v>2200</v>
      </c>
    </row>
    <row r="117" spans="1:13" hidden="1" x14ac:dyDescent="0.35">
      <c r="A117">
        <f t="shared" si="1"/>
        <v>116</v>
      </c>
      <c r="B117" s="2" t="s">
        <v>13</v>
      </c>
      <c r="C117" s="2" t="s">
        <v>27</v>
      </c>
      <c r="D117" s="2" t="s">
        <v>24</v>
      </c>
      <c r="E117" s="2" t="s">
        <v>16</v>
      </c>
      <c r="F117" s="3">
        <v>15000</v>
      </c>
      <c r="G117" s="2" t="s">
        <v>25</v>
      </c>
      <c r="H117" s="3">
        <v>7500</v>
      </c>
      <c r="I117" s="3">
        <v>7500</v>
      </c>
      <c r="J117" s="2" t="s">
        <v>18</v>
      </c>
      <c r="K117" s="2">
        <v>35</v>
      </c>
      <c r="L117" s="2">
        <v>1</v>
      </c>
      <c r="M117" s="3">
        <v>1000</v>
      </c>
    </row>
    <row r="118" spans="1:13" hidden="1" x14ac:dyDescent="0.35">
      <c r="A118">
        <f t="shared" si="1"/>
        <v>117</v>
      </c>
      <c r="B118" s="2" t="s">
        <v>19</v>
      </c>
      <c r="C118" s="2" t="s">
        <v>27</v>
      </c>
      <c r="D118" s="2" t="s">
        <v>15</v>
      </c>
      <c r="E118" s="2" t="s">
        <v>21</v>
      </c>
      <c r="F118" s="3">
        <v>30000</v>
      </c>
      <c r="G118" s="2" t="s">
        <v>17</v>
      </c>
      <c r="H118" s="3">
        <v>15000</v>
      </c>
      <c r="I118" s="3">
        <v>15000</v>
      </c>
      <c r="J118" s="2" t="s">
        <v>22</v>
      </c>
      <c r="K118" s="2">
        <v>42</v>
      </c>
      <c r="L118" s="2">
        <v>1</v>
      </c>
      <c r="M118" s="3">
        <v>1200</v>
      </c>
    </row>
    <row r="119" spans="1:13" x14ac:dyDescent="0.35">
      <c r="A119">
        <f t="shared" si="1"/>
        <v>118</v>
      </c>
      <c r="B119" s="2" t="s">
        <v>13</v>
      </c>
      <c r="C119" s="2" t="s">
        <v>27</v>
      </c>
      <c r="D119" s="2" t="s">
        <v>20</v>
      </c>
      <c r="E119" s="2" t="s">
        <v>16</v>
      </c>
      <c r="F119" s="3">
        <v>18000</v>
      </c>
      <c r="G119" s="2" t="s">
        <v>25</v>
      </c>
      <c r="H119" s="3">
        <v>9000</v>
      </c>
      <c r="I119" s="3">
        <v>9000</v>
      </c>
      <c r="J119" s="2" t="s">
        <v>18</v>
      </c>
      <c r="K119" s="2">
        <v>50</v>
      </c>
      <c r="L119" s="2">
        <v>1</v>
      </c>
      <c r="M119" s="3">
        <v>900</v>
      </c>
    </row>
    <row r="120" spans="1:13" hidden="1" x14ac:dyDescent="0.35">
      <c r="A120">
        <f t="shared" si="1"/>
        <v>119</v>
      </c>
      <c r="B120" s="2" t="s">
        <v>13</v>
      </c>
      <c r="C120" s="2" t="s">
        <v>27</v>
      </c>
      <c r="D120" s="2" t="s">
        <v>24</v>
      </c>
      <c r="E120" s="2" t="s">
        <v>16</v>
      </c>
      <c r="F120" s="3">
        <v>20000</v>
      </c>
      <c r="G120" s="2" t="s">
        <v>17</v>
      </c>
      <c r="H120" s="3">
        <v>10000</v>
      </c>
      <c r="I120" s="3">
        <v>10000</v>
      </c>
      <c r="J120" s="2" t="s">
        <v>22</v>
      </c>
      <c r="K120" s="2">
        <v>30</v>
      </c>
      <c r="L120" s="2">
        <v>1</v>
      </c>
      <c r="M120" s="3">
        <v>1300</v>
      </c>
    </row>
    <row r="121" spans="1:13" hidden="1" x14ac:dyDescent="0.35">
      <c r="A121">
        <f t="shared" si="1"/>
        <v>120</v>
      </c>
      <c r="B121" s="2" t="s">
        <v>19</v>
      </c>
      <c r="C121" s="2" t="s">
        <v>27</v>
      </c>
      <c r="D121" s="2" t="s">
        <v>26</v>
      </c>
      <c r="E121" s="2" t="s">
        <v>21</v>
      </c>
      <c r="F121" s="3">
        <v>35000</v>
      </c>
      <c r="G121" s="2" t="s">
        <v>25</v>
      </c>
      <c r="H121" s="3">
        <v>17500</v>
      </c>
      <c r="I121" s="3">
        <v>17500</v>
      </c>
      <c r="J121" s="2" t="s">
        <v>18</v>
      </c>
      <c r="K121" s="2">
        <v>40</v>
      </c>
      <c r="L121" s="2">
        <v>1</v>
      </c>
      <c r="M121" s="3">
        <v>1100</v>
      </c>
    </row>
    <row r="122" spans="1:13" hidden="1" x14ac:dyDescent="0.35">
      <c r="A122">
        <f t="shared" si="1"/>
        <v>121</v>
      </c>
      <c r="B122" s="2" t="s">
        <v>13</v>
      </c>
      <c r="C122" s="2" t="s">
        <v>27</v>
      </c>
      <c r="D122" s="2" t="s">
        <v>15</v>
      </c>
      <c r="E122" s="2" t="s">
        <v>16</v>
      </c>
      <c r="F122" s="3">
        <v>15000</v>
      </c>
      <c r="G122" s="2" t="s">
        <v>17</v>
      </c>
      <c r="H122" s="3">
        <v>7500</v>
      </c>
      <c r="I122" s="3">
        <v>7500</v>
      </c>
      <c r="J122" s="2" t="s">
        <v>22</v>
      </c>
      <c r="K122" s="2">
        <v>38</v>
      </c>
      <c r="L122" s="2">
        <v>1</v>
      </c>
      <c r="M122" s="3">
        <v>1000</v>
      </c>
    </row>
    <row r="123" spans="1:13" hidden="1" x14ac:dyDescent="0.35">
      <c r="A123">
        <f t="shared" si="1"/>
        <v>122</v>
      </c>
      <c r="B123" s="2" t="s">
        <v>19</v>
      </c>
      <c r="C123" s="2" t="s">
        <v>27</v>
      </c>
      <c r="D123" s="2" t="s">
        <v>28</v>
      </c>
      <c r="E123" s="2" t="s">
        <v>21</v>
      </c>
      <c r="F123" s="3">
        <v>32000</v>
      </c>
      <c r="G123" s="2" t="s">
        <v>25</v>
      </c>
      <c r="H123" s="3">
        <v>16000</v>
      </c>
      <c r="I123" s="3">
        <v>16000</v>
      </c>
      <c r="J123" s="2" t="s">
        <v>18</v>
      </c>
      <c r="K123" s="2">
        <v>45</v>
      </c>
      <c r="L123" s="2">
        <v>1</v>
      </c>
      <c r="M123" s="3">
        <v>1500</v>
      </c>
    </row>
    <row r="124" spans="1:13" hidden="1" x14ac:dyDescent="0.35">
      <c r="A124">
        <f t="shared" si="1"/>
        <v>123</v>
      </c>
      <c r="B124" s="2" t="s">
        <v>13</v>
      </c>
      <c r="C124" s="2" t="s">
        <v>27</v>
      </c>
      <c r="D124" s="2" t="s">
        <v>30</v>
      </c>
      <c r="E124" s="2" t="s">
        <v>16</v>
      </c>
      <c r="F124" s="3">
        <v>19000</v>
      </c>
      <c r="G124" s="2" t="s">
        <v>17</v>
      </c>
      <c r="H124" s="3">
        <v>9500</v>
      </c>
      <c r="I124" s="3">
        <v>9500</v>
      </c>
      <c r="J124" s="2" t="s">
        <v>22</v>
      </c>
      <c r="K124" s="2">
        <v>28</v>
      </c>
      <c r="L124" s="2">
        <v>1</v>
      </c>
      <c r="M124" s="3">
        <v>800</v>
      </c>
    </row>
    <row r="125" spans="1:13" hidden="1" x14ac:dyDescent="0.35">
      <c r="A125">
        <f t="shared" si="1"/>
        <v>124</v>
      </c>
      <c r="B125" s="2" t="s">
        <v>13</v>
      </c>
      <c r="C125" s="2" t="s">
        <v>27</v>
      </c>
      <c r="D125" s="2" t="s">
        <v>24</v>
      </c>
      <c r="E125" s="2" t="s">
        <v>16</v>
      </c>
      <c r="F125" s="3">
        <v>17000</v>
      </c>
      <c r="G125" s="2" t="s">
        <v>25</v>
      </c>
      <c r="H125" s="3">
        <v>8500</v>
      </c>
      <c r="I125" s="3">
        <v>8500</v>
      </c>
      <c r="J125" s="2" t="s">
        <v>18</v>
      </c>
      <c r="K125" s="2">
        <v>32</v>
      </c>
      <c r="L125" s="2">
        <v>1</v>
      </c>
      <c r="M125" s="3">
        <v>1200</v>
      </c>
    </row>
    <row r="126" spans="1:13" hidden="1" x14ac:dyDescent="0.35">
      <c r="A126">
        <f t="shared" si="1"/>
        <v>125</v>
      </c>
      <c r="B126" s="2" t="s">
        <v>19</v>
      </c>
      <c r="C126" s="2" t="s">
        <v>27</v>
      </c>
      <c r="D126" s="2" t="s">
        <v>26</v>
      </c>
      <c r="E126" s="2" t="s">
        <v>21</v>
      </c>
      <c r="F126" s="3">
        <v>40000</v>
      </c>
      <c r="G126" s="2" t="s">
        <v>17</v>
      </c>
      <c r="H126" s="3">
        <v>20000</v>
      </c>
      <c r="I126" s="3">
        <v>20000</v>
      </c>
      <c r="J126" s="2" t="s">
        <v>22</v>
      </c>
      <c r="K126" s="2">
        <v>50</v>
      </c>
      <c r="L126" s="2">
        <v>1</v>
      </c>
      <c r="M126" s="3">
        <v>1000</v>
      </c>
    </row>
    <row r="127" spans="1:13" hidden="1" x14ac:dyDescent="0.35">
      <c r="A127">
        <f t="shared" si="1"/>
        <v>126</v>
      </c>
      <c r="B127" s="2" t="s">
        <v>13</v>
      </c>
      <c r="C127" s="2" t="s">
        <v>27</v>
      </c>
      <c r="D127" s="2" t="s">
        <v>15</v>
      </c>
      <c r="E127" s="2" t="s">
        <v>16</v>
      </c>
      <c r="F127" s="3">
        <v>15000</v>
      </c>
      <c r="G127" s="2" t="s">
        <v>25</v>
      </c>
      <c r="H127" s="3">
        <v>7500</v>
      </c>
      <c r="I127" s="3">
        <v>7500</v>
      </c>
      <c r="J127" s="2" t="s">
        <v>18</v>
      </c>
      <c r="K127" s="2">
        <v>35</v>
      </c>
      <c r="L127" s="2">
        <v>1</v>
      </c>
      <c r="M127" s="3">
        <v>700</v>
      </c>
    </row>
    <row r="128" spans="1:13" hidden="1" x14ac:dyDescent="0.35">
      <c r="A128">
        <f t="shared" si="1"/>
        <v>127</v>
      </c>
      <c r="B128" s="2" t="s">
        <v>19</v>
      </c>
      <c r="C128" s="2" t="s">
        <v>27</v>
      </c>
      <c r="D128" s="2" t="s">
        <v>28</v>
      </c>
      <c r="E128" s="2" t="s">
        <v>21</v>
      </c>
      <c r="F128" s="3">
        <v>30000</v>
      </c>
      <c r="G128" s="2" t="s">
        <v>17</v>
      </c>
      <c r="H128" s="3">
        <v>15000</v>
      </c>
      <c r="I128" s="3">
        <v>15000</v>
      </c>
      <c r="J128" s="2" t="s">
        <v>22</v>
      </c>
      <c r="K128" s="2">
        <v>42</v>
      </c>
      <c r="L128" s="2">
        <v>1</v>
      </c>
      <c r="M128" s="3">
        <v>900</v>
      </c>
    </row>
    <row r="129" spans="1:13" x14ac:dyDescent="0.35">
      <c r="A129">
        <f t="shared" si="1"/>
        <v>128</v>
      </c>
      <c r="B129" s="2" t="s">
        <v>13</v>
      </c>
      <c r="C129" s="2" t="s">
        <v>27</v>
      </c>
      <c r="D129" s="2" t="s">
        <v>20</v>
      </c>
      <c r="E129" s="2" t="s">
        <v>16</v>
      </c>
      <c r="F129" s="3">
        <v>16000</v>
      </c>
      <c r="G129" s="2" t="s">
        <v>25</v>
      </c>
      <c r="H129" s="3">
        <v>8000</v>
      </c>
      <c r="I129" s="3">
        <v>8000</v>
      </c>
      <c r="J129" s="2" t="s">
        <v>18</v>
      </c>
      <c r="K129" s="2">
        <v>50</v>
      </c>
      <c r="L129" s="2">
        <v>1</v>
      </c>
      <c r="M129" s="3">
        <v>600</v>
      </c>
    </row>
    <row r="130" spans="1:13" hidden="1" x14ac:dyDescent="0.35">
      <c r="A130">
        <f t="shared" si="1"/>
        <v>129</v>
      </c>
      <c r="B130" s="2" t="s">
        <v>13</v>
      </c>
      <c r="C130" s="2" t="s">
        <v>27</v>
      </c>
      <c r="D130" s="2" t="s">
        <v>24</v>
      </c>
      <c r="E130" s="2" t="s">
        <v>16</v>
      </c>
      <c r="F130" s="3">
        <v>18000</v>
      </c>
      <c r="G130" s="2" t="s">
        <v>17</v>
      </c>
      <c r="H130" s="3">
        <v>9000</v>
      </c>
      <c r="I130" s="3">
        <v>9000</v>
      </c>
      <c r="J130" s="2" t="s">
        <v>22</v>
      </c>
      <c r="K130" s="2">
        <v>30</v>
      </c>
      <c r="L130" s="2">
        <v>1</v>
      </c>
      <c r="M130" s="3">
        <v>800</v>
      </c>
    </row>
    <row r="131" spans="1:13" hidden="1" x14ac:dyDescent="0.35">
      <c r="A131">
        <f t="shared" si="1"/>
        <v>130</v>
      </c>
      <c r="B131" s="2" t="s">
        <v>19</v>
      </c>
      <c r="C131" s="2" t="s">
        <v>27</v>
      </c>
      <c r="D131" s="2" t="s">
        <v>26</v>
      </c>
      <c r="E131" s="2" t="s">
        <v>21</v>
      </c>
      <c r="F131" s="3">
        <v>32000</v>
      </c>
      <c r="G131" s="2" t="s">
        <v>25</v>
      </c>
      <c r="H131" s="3">
        <v>16000</v>
      </c>
      <c r="I131" s="3">
        <v>16000</v>
      </c>
      <c r="J131" s="2" t="s">
        <v>18</v>
      </c>
      <c r="K131" s="2">
        <v>40</v>
      </c>
      <c r="L131" s="2">
        <v>1</v>
      </c>
      <c r="M131" s="3">
        <v>1000</v>
      </c>
    </row>
    <row r="132" spans="1:13" hidden="1" x14ac:dyDescent="0.35">
      <c r="A132">
        <f t="shared" si="1"/>
        <v>131</v>
      </c>
      <c r="B132" s="2" t="s">
        <v>13</v>
      </c>
      <c r="C132" s="2" t="s">
        <v>27</v>
      </c>
      <c r="D132" s="2" t="s">
        <v>15</v>
      </c>
      <c r="E132" s="2" t="s">
        <v>16</v>
      </c>
      <c r="F132" s="3">
        <v>15000</v>
      </c>
      <c r="G132" s="2" t="s">
        <v>17</v>
      </c>
      <c r="H132" s="3">
        <v>7500</v>
      </c>
      <c r="I132" s="3">
        <v>7500</v>
      </c>
      <c r="J132" s="2" t="s">
        <v>22</v>
      </c>
      <c r="K132" s="2">
        <v>38</v>
      </c>
      <c r="L132" s="2">
        <v>1</v>
      </c>
      <c r="M132" s="3">
        <v>900</v>
      </c>
    </row>
    <row r="133" spans="1:13" hidden="1" x14ac:dyDescent="0.35">
      <c r="A133">
        <f t="shared" si="1"/>
        <v>132</v>
      </c>
      <c r="B133" s="2" t="s">
        <v>19</v>
      </c>
      <c r="C133" s="2" t="s">
        <v>27</v>
      </c>
      <c r="D133" s="2" t="s">
        <v>28</v>
      </c>
      <c r="E133" s="2" t="s">
        <v>21</v>
      </c>
      <c r="F133" s="3">
        <v>30000</v>
      </c>
      <c r="G133" s="2" t="s">
        <v>25</v>
      </c>
      <c r="H133" s="3">
        <v>15000</v>
      </c>
      <c r="I133" s="3">
        <v>15000</v>
      </c>
      <c r="J133" s="2" t="s">
        <v>18</v>
      </c>
      <c r="K133" s="2">
        <v>45</v>
      </c>
      <c r="L133" s="2">
        <v>1</v>
      </c>
      <c r="M133" s="3">
        <v>1200</v>
      </c>
    </row>
    <row r="134" spans="1:13" hidden="1" x14ac:dyDescent="0.35">
      <c r="A134">
        <f t="shared" si="1"/>
        <v>133</v>
      </c>
      <c r="B134" s="2" t="s">
        <v>13</v>
      </c>
      <c r="C134" s="2" t="s">
        <v>27</v>
      </c>
      <c r="D134" s="2" t="s">
        <v>30</v>
      </c>
      <c r="E134" s="2" t="s">
        <v>16</v>
      </c>
      <c r="F134" s="3">
        <v>19000</v>
      </c>
      <c r="G134" s="2" t="s">
        <v>17</v>
      </c>
      <c r="H134" s="3">
        <v>9500</v>
      </c>
      <c r="I134" s="3">
        <v>9500</v>
      </c>
      <c r="J134" s="2" t="s">
        <v>22</v>
      </c>
      <c r="K134" s="2">
        <v>28</v>
      </c>
      <c r="L134" s="2">
        <v>1</v>
      </c>
      <c r="M134" s="3">
        <v>1000</v>
      </c>
    </row>
    <row r="135" spans="1:13" hidden="1" x14ac:dyDescent="0.35">
      <c r="A135">
        <f t="shared" si="1"/>
        <v>134</v>
      </c>
      <c r="B135" s="2" t="s">
        <v>13</v>
      </c>
      <c r="C135" s="2" t="s">
        <v>27</v>
      </c>
      <c r="D135" s="2" t="s">
        <v>24</v>
      </c>
      <c r="E135" s="2" t="s">
        <v>16</v>
      </c>
      <c r="F135" s="3">
        <v>17000</v>
      </c>
      <c r="G135" s="2" t="s">
        <v>25</v>
      </c>
      <c r="H135" s="3">
        <v>8500</v>
      </c>
      <c r="I135" s="3">
        <v>8500</v>
      </c>
      <c r="J135" s="2" t="s">
        <v>18</v>
      </c>
      <c r="K135" s="2">
        <v>32</v>
      </c>
      <c r="L135" s="2">
        <v>1</v>
      </c>
      <c r="M135" s="3">
        <v>700</v>
      </c>
    </row>
    <row r="136" spans="1:13" hidden="1" x14ac:dyDescent="0.35">
      <c r="A136">
        <f t="shared" si="1"/>
        <v>135</v>
      </c>
      <c r="B136" s="2" t="s">
        <v>19</v>
      </c>
      <c r="C136" s="2" t="s">
        <v>27</v>
      </c>
      <c r="D136" s="2" t="s">
        <v>26</v>
      </c>
      <c r="E136" s="2" t="s">
        <v>21</v>
      </c>
      <c r="F136" s="3">
        <v>40000</v>
      </c>
      <c r="G136" s="2" t="s">
        <v>17</v>
      </c>
      <c r="H136" s="3">
        <v>20000</v>
      </c>
      <c r="I136" s="3">
        <v>20000</v>
      </c>
      <c r="J136" s="2" t="s">
        <v>22</v>
      </c>
      <c r="K136" s="2">
        <v>50</v>
      </c>
      <c r="L136" s="2">
        <v>1</v>
      </c>
      <c r="M136" s="3">
        <v>1100</v>
      </c>
    </row>
    <row r="137" spans="1:13" hidden="1" x14ac:dyDescent="0.35">
      <c r="A137">
        <f t="shared" si="1"/>
        <v>136</v>
      </c>
      <c r="B137" s="2" t="s">
        <v>13</v>
      </c>
      <c r="C137" s="2" t="s">
        <v>27</v>
      </c>
      <c r="D137" s="2" t="s">
        <v>15</v>
      </c>
      <c r="E137" s="2" t="s">
        <v>16</v>
      </c>
      <c r="F137" s="3">
        <v>15000</v>
      </c>
      <c r="G137" s="2" t="s">
        <v>25</v>
      </c>
      <c r="H137" s="3">
        <v>7500</v>
      </c>
      <c r="I137" s="3">
        <v>7500</v>
      </c>
      <c r="J137" s="2" t="s">
        <v>18</v>
      </c>
      <c r="K137" s="2">
        <v>35</v>
      </c>
      <c r="L137" s="2">
        <v>1</v>
      </c>
      <c r="M137" s="3">
        <v>1000</v>
      </c>
    </row>
    <row r="138" spans="1:13" hidden="1" x14ac:dyDescent="0.35">
      <c r="A138">
        <f t="shared" si="1"/>
        <v>137</v>
      </c>
      <c r="B138" s="2" t="s">
        <v>19</v>
      </c>
      <c r="C138" s="2" t="s">
        <v>27</v>
      </c>
      <c r="D138" s="2" t="s">
        <v>28</v>
      </c>
      <c r="E138" s="2" t="s">
        <v>21</v>
      </c>
      <c r="F138" s="3">
        <v>30000</v>
      </c>
      <c r="G138" s="2" t="s">
        <v>17</v>
      </c>
      <c r="H138" s="3">
        <v>15000</v>
      </c>
      <c r="I138" s="3">
        <v>15000</v>
      </c>
      <c r="J138" s="2" t="s">
        <v>22</v>
      </c>
      <c r="K138" s="2">
        <v>42</v>
      </c>
      <c r="L138" s="2">
        <v>1</v>
      </c>
      <c r="M138" s="3">
        <v>900</v>
      </c>
    </row>
    <row r="139" spans="1:13" x14ac:dyDescent="0.35">
      <c r="A139">
        <f t="shared" si="1"/>
        <v>138</v>
      </c>
      <c r="B139" s="2" t="s">
        <v>13</v>
      </c>
      <c r="C139" s="2" t="s">
        <v>27</v>
      </c>
      <c r="D139" s="2" t="s">
        <v>20</v>
      </c>
      <c r="E139" s="2" t="s">
        <v>16</v>
      </c>
      <c r="F139" s="3">
        <v>16000</v>
      </c>
      <c r="G139" s="2" t="s">
        <v>25</v>
      </c>
      <c r="H139" s="3">
        <v>8000</v>
      </c>
      <c r="I139" s="3">
        <v>8000</v>
      </c>
      <c r="J139" s="2" t="s">
        <v>18</v>
      </c>
      <c r="K139" s="2">
        <v>50</v>
      </c>
      <c r="L139" s="2">
        <v>1</v>
      </c>
      <c r="M139" s="3">
        <v>1100</v>
      </c>
    </row>
    <row r="140" spans="1:13" hidden="1" x14ac:dyDescent="0.35">
      <c r="A140">
        <f t="shared" si="1"/>
        <v>139</v>
      </c>
      <c r="B140" s="2" t="s">
        <v>13</v>
      </c>
      <c r="C140" s="2" t="s">
        <v>27</v>
      </c>
      <c r="D140" s="2" t="s">
        <v>24</v>
      </c>
      <c r="E140" s="2" t="s">
        <v>16</v>
      </c>
      <c r="F140" s="3">
        <v>18000</v>
      </c>
      <c r="G140" s="2" t="s">
        <v>17</v>
      </c>
      <c r="H140" s="3">
        <v>9000</v>
      </c>
      <c r="I140" s="3">
        <v>9000</v>
      </c>
      <c r="J140" s="2" t="s">
        <v>22</v>
      </c>
      <c r="K140" s="2">
        <v>30</v>
      </c>
      <c r="L140" s="2">
        <v>1</v>
      </c>
      <c r="M140" s="3">
        <v>800</v>
      </c>
    </row>
    <row r="141" spans="1:13" hidden="1" x14ac:dyDescent="0.35">
      <c r="A141">
        <f t="shared" si="1"/>
        <v>140</v>
      </c>
      <c r="B141" s="2" t="s">
        <v>19</v>
      </c>
      <c r="C141" s="2" t="s">
        <v>27</v>
      </c>
      <c r="D141" s="2" t="s">
        <v>26</v>
      </c>
      <c r="E141" s="2" t="s">
        <v>21</v>
      </c>
      <c r="F141" s="3">
        <v>35000</v>
      </c>
      <c r="G141" s="2" t="s">
        <v>25</v>
      </c>
      <c r="H141" s="3">
        <v>17500</v>
      </c>
      <c r="I141" s="3">
        <v>17500</v>
      </c>
      <c r="J141" s="2" t="s">
        <v>18</v>
      </c>
      <c r="K141" s="2">
        <v>40</v>
      </c>
      <c r="L141" s="2">
        <v>1</v>
      </c>
      <c r="M141" s="3">
        <v>1200</v>
      </c>
    </row>
    <row r="142" spans="1:13" hidden="1" x14ac:dyDescent="0.35">
      <c r="A142">
        <f t="shared" si="1"/>
        <v>141</v>
      </c>
      <c r="B142" s="2" t="s">
        <v>13</v>
      </c>
      <c r="C142" s="2" t="s">
        <v>27</v>
      </c>
      <c r="D142" s="2" t="s">
        <v>15</v>
      </c>
      <c r="E142" s="2" t="s">
        <v>16</v>
      </c>
      <c r="F142" s="3">
        <v>15000</v>
      </c>
      <c r="G142" s="2" t="s">
        <v>17</v>
      </c>
      <c r="H142" s="3">
        <v>7500</v>
      </c>
      <c r="I142" s="3">
        <v>7500</v>
      </c>
      <c r="J142" s="2" t="s">
        <v>22</v>
      </c>
      <c r="K142" s="2">
        <v>38</v>
      </c>
      <c r="L142" s="2">
        <v>1</v>
      </c>
      <c r="M142" s="3">
        <v>900</v>
      </c>
    </row>
    <row r="143" spans="1:13" hidden="1" x14ac:dyDescent="0.35">
      <c r="A143">
        <f t="shared" si="1"/>
        <v>142</v>
      </c>
      <c r="B143" s="2" t="s">
        <v>19</v>
      </c>
      <c r="C143" s="2" t="s">
        <v>27</v>
      </c>
      <c r="D143" s="2" t="s">
        <v>28</v>
      </c>
      <c r="E143" s="2" t="s">
        <v>21</v>
      </c>
      <c r="F143" s="3">
        <v>32000</v>
      </c>
      <c r="G143" s="2" t="s">
        <v>25</v>
      </c>
      <c r="H143" s="3">
        <v>16000</v>
      </c>
      <c r="I143" s="3">
        <v>16000</v>
      </c>
      <c r="J143" s="2" t="s">
        <v>18</v>
      </c>
      <c r="K143" s="2">
        <v>45</v>
      </c>
      <c r="L143" s="2">
        <v>1</v>
      </c>
      <c r="M143" s="3">
        <v>1300</v>
      </c>
    </row>
    <row r="144" spans="1:13" hidden="1" x14ac:dyDescent="0.35">
      <c r="A144">
        <f t="shared" si="1"/>
        <v>143</v>
      </c>
      <c r="B144" s="2" t="s">
        <v>13</v>
      </c>
      <c r="C144" s="2" t="s">
        <v>27</v>
      </c>
      <c r="D144" s="2" t="s">
        <v>30</v>
      </c>
      <c r="E144" s="2" t="s">
        <v>16</v>
      </c>
      <c r="F144" s="3">
        <v>19000</v>
      </c>
      <c r="G144" s="2" t="s">
        <v>17</v>
      </c>
      <c r="H144" s="3">
        <v>9500</v>
      </c>
      <c r="I144" s="3">
        <v>9500</v>
      </c>
      <c r="J144" s="2" t="s">
        <v>22</v>
      </c>
      <c r="K144" s="2">
        <v>28</v>
      </c>
      <c r="L144" s="2">
        <v>1</v>
      </c>
      <c r="M144" s="3">
        <v>1100</v>
      </c>
    </row>
    <row r="145" spans="1:13" hidden="1" x14ac:dyDescent="0.35">
      <c r="A145">
        <f t="shared" si="1"/>
        <v>144</v>
      </c>
      <c r="B145" s="2" t="s">
        <v>13</v>
      </c>
      <c r="C145" s="2" t="s">
        <v>27</v>
      </c>
      <c r="D145" s="2" t="s">
        <v>24</v>
      </c>
      <c r="E145" s="2" t="s">
        <v>16</v>
      </c>
      <c r="F145" s="3">
        <v>17000</v>
      </c>
      <c r="G145" s="2" t="s">
        <v>25</v>
      </c>
      <c r="H145" s="3">
        <v>8500</v>
      </c>
      <c r="I145" s="3">
        <v>8500</v>
      </c>
      <c r="J145" s="2" t="s">
        <v>18</v>
      </c>
      <c r="K145" s="2">
        <v>32</v>
      </c>
      <c r="L145" s="2">
        <v>1</v>
      </c>
      <c r="M145" s="3">
        <v>700</v>
      </c>
    </row>
    <row r="146" spans="1:13" hidden="1" x14ac:dyDescent="0.35">
      <c r="A146">
        <f t="shared" si="1"/>
        <v>145</v>
      </c>
      <c r="B146" s="2" t="s">
        <v>19</v>
      </c>
      <c r="C146" s="2" t="s">
        <v>27</v>
      </c>
      <c r="D146" s="2" t="s">
        <v>26</v>
      </c>
      <c r="E146" s="2" t="s">
        <v>21</v>
      </c>
      <c r="F146" s="3">
        <v>40000</v>
      </c>
      <c r="G146" s="2" t="s">
        <v>17</v>
      </c>
      <c r="H146" s="3">
        <v>20000</v>
      </c>
      <c r="I146" s="3">
        <v>20000</v>
      </c>
      <c r="J146" s="2" t="s">
        <v>22</v>
      </c>
      <c r="K146" s="2">
        <v>50</v>
      </c>
      <c r="L146" s="2">
        <v>1</v>
      </c>
      <c r="M146" s="3">
        <v>1000</v>
      </c>
    </row>
    <row r="147" spans="1:13" hidden="1" x14ac:dyDescent="0.35">
      <c r="A147">
        <f t="shared" si="1"/>
        <v>146</v>
      </c>
      <c r="B147" s="2" t="s">
        <v>13</v>
      </c>
      <c r="C147" s="2" t="s">
        <v>27</v>
      </c>
      <c r="D147" s="2" t="s">
        <v>15</v>
      </c>
      <c r="E147" s="2" t="s">
        <v>16</v>
      </c>
      <c r="F147" s="3">
        <v>15000</v>
      </c>
      <c r="G147" s="2" t="s">
        <v>25</v>
      </c>
      <c r="H147" s="3">
        <v>7500</v>
      </c>
      <c r="I147" s="3">
        <v>7500</v>
      </c>
      <c r="J147" s="2" t="s">
        <v>18</v>
      </c>
      <c r="K147" s="2">
        <v>35</v>
      </c>
      <c r="L147" s="2">
        <v>1</v>
      </c>
      <c r="M147" s="3">
        <v>900</v>
      </c>
    </row>
    <row r="148" spans="1:13" hidden="1" x14ac:dyDescent="0.35">
      <c r="A148">
        <f t="shared" si="1"/>
        <v>147</v>
      </c>
      <c r="B148" s="2" t="s">
        <v>19</v>
      </c>
      <c r="C148" s="2" t="s">
        <v>27</v>
      </c>
      <c r="D148" s="2" t="s">
        <v>28</v>
      </c>
      <c r="E148" s="2" t="s">
        <v>21</v>
      </c>
      <c r="F148" s="3">
        <v>30000</v>
      </c>
      <c r="G148" s="2" t="s">
        <v>17</v>
      </c>
      <c r="H148" s="3">
        <v>15000</v>
      </c>
      <c r="I148" s="3">
        <v>15000</v>
      </c>
      <c r="J148" s="2" t="s">
        <v>22</v>
      </c>
      <c r="K148" s="2">
        <v>42</v>
      </c>
      <c r="L148" s="2">
        <v>1</v>
      </c>
      <c r="M148" s="3">
        <v>800</v>
      </c>
    </row>
    <row r="149" spans="1:13" x14ac:dyDescent="0.35">
      <c r="A149">
        <f t="shared" si="1"/>
        <v>148</v>
      </c>
      <c r="B149" s="2" t="s">
        <v>13</v>
      </c>
      <c r="C149" s="2" t="s">
        <v>27</v>
      </c>
      <c r="D149" s="2" t="s">
        <v>20</v>
      </c>
      <c r="E149" s="2" t="s">
        <v>16</v>
      </c>
      <c r="F149" s="3">
        <v>16000</v>
      </c>
      <c r="G149" s="2" t="s">
        <v>25</v>
      </c>
      <c r="H149" s="3">
        <v>8000</v>
      </c>
      <c r="I149" s="3">
        <v>8000</v>
      </c>
      <c r="J149" s="2" t="s">
        <v>18</v>
      </c>
      <c r="K149" s="2">
        <v>50</v>
      </c>
      <c r="L149" s="2">
        <v>1</v>
      </c>
      <c r="M149" s="3">
        <v>1000</v>
      </c>
    </row>
    <row r="150" spans="1:13" hidden="1" x14ac:dyDescent="0.35">
      <c r="A150">
        <f t="shared" si="1"/>
        <v>149</v>
      </c>
      <c r="B150" s="2" t="s">
        <v>13</v>
      </c>
      <c r="C150" s="2" t="s">
        <v>27</v>
      </c>
      <c r="D150" s="2" t="s">
        <v>24</v>
      </c>
      <c r="E150" s="2" t="s">
        <v>16</v>
      </c>
      <c r="F150" s="3">
        <v>18000</v>
      </c>
      <c r="G150" s="2" t="s">
        <v>17</v>
      </c>
      <c r="H150" s="3">
        <v>9000</v>
      </c>
      <c r="I150" s="3">
        <v>9000</v>
      </c>
      <c r="J150" s="2" t="s">
        <v>22</v>
      </c>
      <c r="K150" s="2">
        <v>30</v>
      </c>
      <c r="L150" s="2">
        <v>1</v>
      </c>
      <c r="M150" s="3">
        <v>1200</v>
      </c>
    </row>
    <row r="151" spans="1:13" hidden="1" x14ac:dyDescent="0.35">
      <c r="A151">
        <f t="shared" si="1"/>
        <v>150</v>
      </c>
      <c r="B151" s="2" t="s">
        <v>19</v>
      </c>
      <c r="C151" s="2" t="s">
        <v>27</v>
      </c>
      <c r="D151" s="2" t="s">
        <v>26</v>
      </c>
      <c r="E151" s="2" t="s">
        <v>21</v>
      </c>
      <c r="F151" s="3">
        <v>32000</v>
      </c>
      <c r="G151" s="2" t="s">
        <v>25</v>
      </c>
      <c r="H151" s="3">
        <v>16000</v>
      </c>
      <c r="I151" s="3">
        <v>16000</v>
      </c>
      <c r="J151" s="2" t="s">
        <v>18</v>
      </c>
      <c r="K151" s="2">
        <v>40</v>
      </c>
      <c r="L151" s="2">
        <v>1</v>
      </c>
      <c r="M151" s="3">
        <v>900</v>
      </c>
    </row>
    <row r="152" spans="1:13" hidden="1" x14ac:dyDescent="0.35">
      <c r="A152">
        <f t="shared" ref="A152:A166" si="2">A151+1</f>
        <v>151</v>
      </c>
      <c r="B152" s="2" t="s">
        <v>13</v>
      </c>
      <c r="C152" s="2" t="s">
        <v>27</v>
      </c>
      <c r="D152" s="2" t="s">
        <v>15</v>
      </c>
      <c r="E152" s="2" t="s">
        <v>16</v>
      </c>
      <c r="F152" s="3">
        <v>15000</v>
      </c>
      <c r="G152" s="2" t="s">
        <v>17</v>
      </c>
      <c r="H152" s="3">
        <v>7500</v>
      </c>
      <c r="I152" s="3">
        <v>7500</v>
      </c>
      <c r="J152" s="2" t="s">
        <v>22</v>
      </c>
      <c r="K152" s="2">
        <v>38</v>
      </c>
      <c r="L152" s="2">
        <v>1</v>
      </c>
      <c r="M152" s="3">
        <v>1000</v>
      </c>
    </row>
    <row r="153" spans="1:13" hidden="1" x14ac:dyDescent="0.35">
      <c r="A153">
        <f t="shared" si="2"/>
        <v>152</v>
      </c>
      <c r="B153" s="2" t="s">
        <v>19</v>
      </c>
      <c r="C153" s="2" t="s">
        <v>27</v>
      </c>
      <c r="D153" s="2" t="s">
        <v>28</v>
      </c>
      <c r="E153" s="2" t="s">
        <v>21</v>
      </c>
      <c r="F153" s="3">
        <v>30000</v>
      </c>
      <c r="G153" s="2" t="s">
        <v>25</v>
      </c>
      <c r="H153" s="3">
        <v>15000</v>
      </c>
      <c r="I153" s="3">
        <v>15000</v>
      </c>
      <c r="J153" s="2" t="s">
        <v>18</v>
      </c>
      <c r="K153" s="2">
        <v>45</v>
      </c>
      <c r="L153" s="2">
        <v>1</v>
      </c>
      <c r="M153" s="3">
        <v>1100</v>
      </c>
    </row>
    <row r="154" spans="1:13" hidden="1" x14ac:dyDescent="0.35">
      <c r="A154">
        <f t="shared" si="2"/>
        <v>153</v>
      </c>
      <c r="B154" s="2" t="s">
        <v>13</v>
      </c>
      <c r="C154" s="2" t="s">
        <v>27</v>
      </c>
      <c r="D154" s="2" t="s">
        <v>30</v>
      </c>
      <c r="E154" s="2" t="s">
        <v>16</v>
      </c>
      <c r="F154" s="3">
        <v>19000</v>
      </c>
      <c r="G154" s="2" t="s">
        <v>17</v>
      </c>
      <c r="H154" s="3">
        <v>9500</v>
      </c>
      <c r="I154" s="3">
        <v>9500</v>
      </c>
      <c r="J154" s="2" t="s">
        <v>22</v>
      </c>
      <c r="K154" s="2">
        <v>28</v>
      </c>
      <c r="L154" s="2">
        <v>1</v>
      </c>
      <c r="M154" s="3">
        <v>900</v>
      </c>
    </row>
    <row r="155" spans="1:13" hidden="1" x14ac:dyDescent="0.35">
      <c r="A155">
        <f t="shared" si="2"/>
        <v>154</v>
      </c>
      <c r="B155" s="2" t="s">
        <v>13</v>
      </c>
      <c r="C155" s="2" t="s">
        <v>27</v>
      </c>
      <c r="D155" s="2" t="s">
        <v>24</v>
      </c>
      <c r="E155" s="2" t="s">
        <v>16</v>
      </c>
      <c r="F155" s="3">
        <v>17000</v>
      </c>
      <c r="G155" s="2" t="s">
        <v>25</v>
      </c>
      <c r="H155" s="3">
        <v>8500</v>
      </c>
      <c r="I155" s="3">
        <v>8500</v>
      </c>
      <c r="J155" s="2" t="s">
        <v>18</v>
      </c>
      <c r="K155" s="2">
        <v>32</v>
      </c>
      <c r="L155" s="2">
        <v>1</v>
      </c>
      <c r="M155" s="3">
        <v>700</v>
      </c>
    </row>
    <row r="156" spans="1:13" hidden="1" x14ac:dyDescent="0.35">
      <c r="A156">
        <f t="shared" si="2"/>
        <v>155</v>
      </c>
      <c r="B156" s="2" t="s">
        <v>19</v>
      </c>
      <c r="C156" s="2" t="s">
        <v>27</v>
      </c>
      <c r="D156" s="2" t="s">
        <v>26</v>
      </c>
      <c r="E156" s="2" t="s">
        <v>21</v>
      </c>
      <c r="F156" s="3">
        <v>40000</v>
      </c>
      <c r="G156" s="2" t="s">
        <v>17</v>
      </c>
      <c r="H156" s="3">
        <v>20000</v>
      </c>
      <c r="I156" s="3">
        <v>20000</v>
      </c>
      <c r="J156" s="2" t="s">
        <v>22</v>
      </c>
      <c r="K156" s="2">
        <v>50</v>
      </c>
      <c r="L156" s="2">
        <v>1</v>
      </c>
      <c r="M156" s="3">
        <v>800</v>
      </c>
    </row>
    <row r="157" spans="1:13" hidden="1" x14ac:dyDescent="0.35">
      <c r="A157">
        <f t="shared" si="2"/>
        <v>156</v>
      </c>
      <c r="B157" s="2" t="s">
        <v>13</v>
      </c>
      <c r="C157" s="2" t="s">
        <v>27</v>
      </c>
      <c r="D157" s="2" t="s">
        <v>15</v>
      </c>
      <c r="E157" s="2" t="s">
        <v>16</v>
      </c>
      <c r="F157" s="3">
        <v>15000</v>
      </c>
      <c r="G157" s="2" t="s">
        <v>25</v>
      </c>
      <c r="H157" s="3">
        <v>7500</v>
      </c>
      <c r="I157" s="3">
        <v>7500</v>
      </c>
      <c r="J157" s="2" t="s">
        <v>18</v>
      </c>
      <c r="K157" s="2">
        <v>35</v>
      </c>
      <c r="L157" s="2">
        <v>1</v>
      </c>
      <c r="M157" s="3">
        <v>1000</v>
      </c>
    </row>
    <row r="158" spans="1:13" hidden="1" x14ac:dyDescent="0.35">
      <c r="A158">
        <f t="shared" si="2"/>
        <v>157</v>
      </c>
      <c r="B158" s="2" t="s">
        <v>19</v>
      </c>
      <c r="C158" s="2" t="s">
        <v>27</v>
      </c>
      <c r="D158" s="2" t="s">
        <v>28</v>
      </c>
      <c r="E158" s="2" t="s">
        <v>21</v>
      </c>
      <c r="F158" s="3">
        <v>30000</v>
      </c>
      <c r="G158" s="2" t="s">
        <v>17</v>
      </c>
      <c r="H158" s="3">
        <v>15000</v>
      </c>
      <c r="I158" s="3">
        <v>15000</v>
      </c>
      <c r="J158" s="2" t="s">
        <v>22</v>
      </c>
      <c r="K158" s="2">
        <v>42</v>
      </c>
      <c r="L158" s="2">
        <v>1</v>
      </c>
      <c r="M158" s="3">
        <v>900</v>
      </c>
    </row>
    <row r="159" spans="1:13" x14ac:dyDescent="0.35">
      <c r="A159">
        <f t="shared" si="2"/>
        <v>158</v>
      </c>
      <c r="B159" s="2" t="s">
        <v>13</v>
      </c>
      <c r="C159" s="2" t="s">
        <v>27</v>
      </c>
      <c r="D159" s="2" t="s">
        <v>20</v>
      </c>
      <c r="E159" s="2" t="s">
        <v>16</v>
      </c>
      <c r="F159" s="3">
        <v>16000</v>
      </c>
      <c r="G159" s="2" t="s">
        <v>25</v>
      </c>
      <c r="H159" s="3">
        <v>8000</v>
      </c>
      <c r="I159" s="3">
        <v>8000</v>
      </c>
      <c r="J159" s="2" t="s">
        <v>18</v>
      </c>
      <c r="K159" s="2">
        <v>50</v>
      </c>
      <c r="L159" s="2">
        <v>1</v>
      </c>
      <c r="M159" s="3">
        <v>1100</v>
      </c>
    </row>
    <row r="160" spans="1:13" hidden="1" x14ac:dyDescent="0.35">
      <c r="A160">
        <f t="shared" si="2"/>
        <v>159</v>
      </c>
      <c r="B160" s="2" t="s">
        <v>13</v>
      </c>
      <c r="C160" s="2" t="s">
        <v>27</v>
      </c>
      <c r="D160" s="2" t="s">
        <v>24</v>
      </c>
      <c r="E160" s="2" t="s">
        <v>16</v>
      </c>
      <c r="F160" s="3">
        <v>18000</v>
      </c>
      <c r="G160" s="2" t="s">
        <v>17</v>
      </c>
      <c r="H160" s="3">
        <v>9000</v>
      </c>
      <c r="I160" s="3">
        <v>9000</v>
      </c>
      <c r="J160" s="2" t="s">
        <v>22</v>
      </c>
      <c r="K160" s="2">
        <v>30</v>
      </c>
      <c r="L160" s="2">
        <v>1</v>
      </c>
      <c r="M160" s="3">
        <v>800</v>
      </c>
    </row>
    <row r="161" spans="1:13" hidden="1" x14ac:dyDescent="0.35">
      <c r="A161">
        <f t="shared" si="2"/>
        <v>160</v>
      </c>
      <c r="B161" s="2" t="s">
        <v>19</v>
      </c>
      <c r="C161" s="2" t="s">
        <v>27</v>
      </c>
      <c r="D161" s="2" t="s">
        <v>26</v>
      </c>
      <c r="E161" s="2" t="s">
        <v>21</v>
      </c>
      <c r="F161" s="3">
        <v>32000</v>
      </c>
      <c r="G161" s="2" t="s">
        <v>25</v>
      </c>
      <c r="H161" s="3">
        <v>16000</v>
      </c>
      <c r="I161" s="3">
        <v>16000</v>
      </c>
      <c r="J161" s="2" t="s">
        <v>18</v>
      </c>
      <c r="K161" s="2">
        <v>40</v>
      </c>
      <c r="L161" s="2">
        <v>1</v>
      </c>
      <c r="M161" s="3">
        <v>1000</v>
      </c>
    </row>
    <row r="162" spans="1:13" hidden="1" x14ac:dyDescent="0.35">
      <c r="A162">
        <f t="shared" si="2"/>
        <v>161</v>
      </c>
      <c r="B162" s="2" t="s">
        <v>13</v>
      </c>
      <c r="C162" s="2" t="s">
        <v>27</v>
      </c>
      <c r="D162" s="2" t="s">
        <v>15</v>
      </c>
      <c r="E162" s="2" t="s">
        <v>16</v>
      </c>
      <c r="F162" s="3">
        <v>15000</v>
      </c>
      <c r="G162" s="2" t="s">
        <v>17</v>
      </c>
      <c r="H162" s="3">
        <v>7500</v>
      </c>
      <c r="I162" s="3">
        <v>7500</v>
      </c>
      <c r="J162" s="2" t="s">
        <v>22</v>
      </c>
      <c r="K162" s="2">
        <v>38</v>
      </c>
      <c r="L162" s="2">
        <v>1</v>
      </c>
      <c r="M162" s="3">
        <v>9000</v>
      </c>
    </row>
    <row r="163" spans="1:13" hidden="1" x14ac:dyDescent="0.35">
      <c r="A163">
        <f t="shared" si="2"/>
        <v>162</v>
      </c>
      <c r="B163" s="2" t="s">
        <v>19</v>
      </c>
      <c r="C163" s="2" t="s">
        <v>27</v>
      </c>
      <c r="D163" s="2" t="s">
        <v>28</v>
      </c>
      <c r="E163" s="2" t="s">
        <v>21</v>
      </c>
      <c r="F163" s="3">
        <v>30000</v>
      </c>
      <c r="G163" s="2" t="s">
        <v>25</v>
      </c>
      <c r="H163" s="3">
        <v>15000</v>
      </c>
      <c r="I163" s="3">
        <v>15000</v>
      </c>
      <c r="J163" s="2" t="s">
        <v>18</v>
      </c>
      <c r="K163" s="2">
        <v>45</v>
      </c>
      <c r="L163" s="2">
        <v>1</v>
      </c>
      <c r="M163" s="3">
        <v>1200</v>
      </c>
    </row>
    <row r="164" spans="1:13" hidden="1" x14ac:dyDescent="0.35">
      <c r="A164">
        <f t="shared" si="2"/>
        <v>163</v>
      </c>
      <c r="B164" s="2" t="s">
        <v>13</v>
      </c>
      <c r="C164" s="2" t="s">
        <v>27</v>
      </c>
      <c r="D164" s="2" t="s">
        <v>30</v>
      </c>
      <c r="E164" s="2" t="s">
        <v>16</v>
      </c>
      <c r="F164" s="3">
        <v>19000</v>
      </c>
      <c r="G164" s="2" t="s">
        <v>17</v>
      </c>
      <c r="H164" s="3">
        <v>9500</v>
      </c>
      <c r="I164" s="3">
        <v>9500</v>
      </c>
      <c r="J164" s="2" t="s">
        <v>22</v>
      </c>
      <c r="K164" s="2">
        <v>28</v>
      </c>
      <c r="L164" s="2">
        <v>1</v>
      </c>
      <c r="M164" s="3">
        <v>1100</v>
      </c>
    </row>
    <row r="165" spans="1:13" hidden="1" x14ac:dyDescent="0.35">
      <c r="A165">
        <f t="shared" si="2"/>
        <v>164</v>
      </c>
      <c r="B165" s="2" t="s">
        <v>13</v>
      </c>
      <c r="C165" s="2" t="s">
        <v>27</v>
      </c>
      <c r="D165" s="2" t="s">
        <v>24</v>
      </c>
      <c r="E165" s="2" t="s">
        <v>16</v>
      </c>
      <c r="F165" s="3">
        <v>17000</v>
      </c>
      <c r="G165" s="2" t="s">
        <v>25</v>
      </c>
      <c r="H165" s="3">
        <v>8500</v>
      </c>
      <c r="I165" s="3">
        <v>8500</v>
      </c>
      <c r="J165" s="2" t="s">
        <v>18</v>
      </c>
      <c r="K165" s="2">
        <v>32</v>
      </c>
      <c r="L165" s="2">
        <v>1</v>
      </c>
      <c r="M165" s="3">
        <v>700</v>
      </c>
    </row>
    <row r="166" spans="1:13" hidden="1" x14ac:dyDescent="0.35">
      <c r="A166">
        <f t="shared" si="2"/>
        <v>165</v>
      </c>
      <c r="B166" s="2" t="s">
        <v>19</v>
      </c>
      <c r="C166" s="2" t="s">
        <v>27</v>
      </c>
      <c r="D166" s="2" t="s">
        <v>26</v>
      </c>
      <c r="E166" s="2" t="s">
        <v>21</v>
      </c>
      <c r="F166" s="3">
        <v>40000</v>
      </c>
      <c r="G166" s="2" t="s">
        <v>17</v>
      </c>
      <c r="H166" s="3">
        <v>20000</v>
      </c>
      <c r="I166" s="3">
        <v>20000</v>
      </c>
      <c r="J166" s="2" t="s">
        <v>22</v>
      </c>
      <c r="K166" s="2">
        <v>50</v>
      </c>
      <c r="L166" s="2">
        <v>1</v>
      </c>
      <c r="M166" s="3">
        <v>1000</v>
      </c>
    </row>
    <row r="167" spans="1:13" hidden="1" x14ac:dyDescent="0.35">
      <c r="A167">
        <f>A165+1</f>
        <v>165</v>
      </c>
      <c r="B167" s="2" t="s">
        <v>19</v>
      </c>
      <c r="C167" s="2" t="s">
        <v>14</v>
      </c>
      <c r="D167" s="2" t="s">
        <v>24</v>
      </c>
      <c r="E167" s="2" t="s">
        <v>21</v>
      </c>
      <c r="F167" s="3">
        <v>3500000</v>
      </c>
      <c r="G167" s="2" t="s">
        <v>25</v>
      </c>
      <c r="H167" s="3">
        <v>35000</v>
      </c>
      <c r="I167" s="3">
        <v>35000</v>
      </c>
      <c r="J167" s="2" t="s">
        <v>18</v>
      </c>
      <c r="K167" s="2">
        <v>45</v>
      </c>
      <c r="L167" s="2">
        <v>1</v>
      </c>
      <c r="M167" s="3">
        <v>1500</v>
      </c>
    </row>
    <row r="168" spans="1:13" hidden="1" x14ac:dyDescent="0.35">
      <c r="A168">
        <f>A166+1</f>
        <v>166</v>
      </c>
      <c r="B168" s="2" t="s">
        <v>13</v>
      </c>
      <c r="C168" s="2" t="s">
        <v>14</v>
      </c>
      <c r="D168" s="2" t="s">
        <v>15</v>
      </c>
      <c r="E168" s="2" t="s">
        <v>16</v>
      </c>
      <c r="F168" s="3">
        <v>15000000</v>
      </c>
      <c r="G168" s="2" t="s">
        <v>17</v>
      </c>
      <c r="H168" s="3">
        <v>150000</v>
      </c>
      <c r="I168" s="3">
        <v>150000</v>
      </c>
      <c r="J168" s="2" t="s">
        <v>22</v>
      </c>
      <c r="K168" s="2">
        <v>55</v>
      </c>
      <c r="L168" s="2">
        <v>1</v>
      </c>
      <c r="M168" s="3">
        <v>2000</v>
      </c>
    </row>
    <row r="169" spans="1:13" x14ac:dyDescent="0.35">
      <c r="A169">
        <v>167</v>
      </c>
      <c r="B169" s="2" t="s">
        <v>23</v>
      </c>
      <c r="C169" s="2" t="s">
        <v>14</v>
      </c>
      <c r="D169" s="2" t="s">
        <v>20</v>
      </c>
      <c r="E169" s="2" t="s">
        <v>16</v>
      </c>
      <c r="F169" s="3">
        <v>25000000</v>
      </c>
      <c r="G169" s="2" t="s">
        <v>25</v>
      </c>
      <c r="H169" s="3">
        <v>0</v>
      </c>
      <c r="I169" s="3">
        <v>250000</v>
      </c>
      <c r="J169" s="2" t="s">
        <v>18</v>
      </c>
      <c r="K169" s="2">
        <v>60</v>
      </c>
      <c r="L169" s="2">
        <v>2</v>
      </c>
      <c r="M169" s="3">
        <v>1800</v>
      </c>
    </row>
    <row r="170" spans="1:13" hidden="1" x14ac:dyDescent="0.35">
      <c r="A170">
        <v>168</v>
      </c>
      <c r="B170" s="2" t="s">
        <v>19</v>
      </c>
      <c r="C170" s="2" t="s">
        <v>14</v>
      </c>
      <c r="D170" s="2" t="s">
        <v>26</v>
      </c>
      <c r="E170" s="2" t="s">
        <v>21</v>
      </c>
      <c r="F170" s="3">
        <v>4000000</v>
      </c>
      <c r="G170" s="2" t="s">
        <v>17</v>
      </c>
      <c r="H170" s="3">
        <v>40000</v>
      </c>
      <c r="I170" s="3">
        <v>40000</v>
      </c>
      <c r="J170" s="2" t="s">
        <v>22</v>
      </c>
      <c r="K170" s="2">
        <v>50</v>
      </c>
      <c r="L170" s="2">
        <v>1</v>
      </c>
      <c r="M170" s="3">
        <v>1300</v>
      </c>
    </row>
    <row r="171" spans="1:13" hidden="1" x14ac:dyDescent="0.35">
      <c r="A171">
        <v>169</v>
      </c>
      <c r="B171" s="2" t="s">
        <v>13</v>
      </c>
      <c r="C171" s="2" t="s">
        <v>27</v>
      </c>
      <c r="D171" s="2" t="s">
        <v>24</v>
      </c>
      <c r="E171" s="2" t="s">
        <v>16</v>
      </c>
      <c r="F171" s="3">
        <v>15000</v>
      </c>
      <c r="G171" s="2" t="s">
        <v>25</v>
      </c>
      <c r="H171" s="3">
        <v>7500</v>
      </c>
      <c r="I171" s="3">
        <v>7500</v>
      </c>
      <c r="J171" s="2" t="s">
        <v>18</v>
      </c>
      <c r="K171" s="2">
        <v>35</v>
      </c>
      <c r="L171" s="2">
        <v>1</v>
      </c>
      <c r="M171" s="3">
        <v>1000</v>
      </c>
    </row>
    <row r="172" spans="1:13" hidden="1" x14ac:dyDescent="0.35">
      <c r="A172">
        <v>169</v>
      </c>
      <c r="B172" s="2" t="s">
        <v>19</v>
      </c>
      <c r="C172" s="2" t="s">
        <v>27</v>
      </c>
      <c r="D172" s="2" t="s">
        <v>15</v>
      </c>
      <c r="E172" s="2" t="s">
        <v>21</v>
      </c>
      <c r="F172" s="3">
        <v>30000</v>
      </c>
      <c r="G172" s="2" t="s">
        <v>17</v>
      </c>
      <c r="H172" s="3">
        <v>15000</v>
      </c>
      <c r="I172" s="3">
        <v>15000</v>
      </c>
      <c r="J172" s="2" t="s">
        <v>22</v>
      </c>
      <c r="K172" s="2">
        <v>42</v>
      </c>
      <c r="L172" s="2">
        <v>1</v>
      </c>
      <c r="M172" s="3">
        <v>1200</v>
      </c>
    </row>
    <row r="173" spans="1:13" x14ac:dyDescent="0.35">
      <c r="A173">
        <v>170</v>
      </c>
      <c r="B173" s="2" t="s">
        <v>13</v>
      </c>
      <c r="C173" s="2" t="s">
        <v>27</v>
      </c>
      <c r="D173" s="2" t="s">
        <v>20</v>
      </c>
      <c r="E173" s="2" t="s">
        <v>16</v>
      </c>
      <c r="F173" s="3">
        <v>18000</v>
      </c>
      <c r="G173" s="2" t="s">
        <v>25</v>
      </c>
      <c r="H173" s="3">
        <v>9000</v>
      </c>
      <c r="I173" s="3">
        <v>9000</v>
      </c>
      <c r="J173" s="2" t="s">
        <v>18</v>
      </c>
      <c r="K173" s="2">
        <v>50</v>
      </c>
      <c r="L173" s="2">
        <v>1</v>
      </c>
      <c r="M173" s="3">
        <v>900</v>
      </c>
    </row>
    <row r="174" spans="1:13" hidden="1" x14ac:dyDescent="0.35">
      <c r="A174">
        <v>171</v>
      </c>
      <c r="B174" s="2" t="s">
        <v>13</v>
      </c>
      <c r="C174" s="2" t="s">
        <v>27</v>
      </c>
      <c r="D174" s="2" t="s">
        <v>24</v>
      </c>
      <c r="E174" s="2" t="s">
        <v>16</v>
      </c>
      <c r="F174" s="3">
        <v>20000</v>
      </c>
      <c r="G174" s="2" t="s">
        <v>17</v>
      </c>
      <c r="H174" s="3">
        <v>10000</v>
      </c>
      <c r="I174" s="3">
        <v>10000</v>
      </c>
      <c r="J174" s="2" t="s">
        <v>22</v>
      </c>
      <c r="K174" s="2">
        <v>30</v>
      </c>
      <c r="L174" s="2">
        <v>1</v>
      </c>
      <c r="M174" s="3">
        <v>1300</v>
      </c>
    </row>
    <row r="175" spans="1:13" hidden="1" x14ac:dyDescent="0.35">
      <c r="A175">
        <v>172</v>
      </c>
      <c r="B175" s="2" t="s">
        <v>19</v>
      </c>
      <c r="C175" s="2" t="s">
        <v>27</v>
      </c>
      <c r="D175" s="2" t="s">
        <v>26</v>
      </c>
      <c r="E175" s="2" t="s">
        <v>21</v>
      </c>
      <c r="F175" s="3">
        <v>35000</v>
      </c>
      <c r="G175" s="2" t="s">
        <v>25</v>
      </c>
      <c r="H175" s="3">
        <v>17500</v>
      </c>
      <c r="I175" s="3">
        <v>17500</v>
      </c>
      <c r="J175" s="2" t="s">
        <v>18</v>
      </c>
      <c r="K175" s="2">
        <v>40</v>
      </c>
      <c r="L175" s="2">
        <v>1</v>
      </c>
      <c r="M175" s="3">
        <v>1100</v>
      </c>
    </row>
    <row r="176" spans="1:13" hidden="1" x14ac:dyDescent="0.35">
      <c r="A176">
        <v>173</v>
      </c>
      <c r="B176" s="2" t="s">
        <v>13</v>
      </c>
      <c r="C176" s="2" t="s">
        <v>27</v>
      </c>
      <c r="D176" s="2" t="s">
        <v>15</v>
      </c>
      <c r="E176" s="2" t="s">
        <v>16</v>
      </c>
      <c r="F176" s="3">
        <v>15000</v>
      </c>
      <c r="G176" s="2" t="s">
        <v>17</v>
      </c>
      <c r="H176" s="3">
        <v>7500</v>
      </c>
      <c r="I176" s="3">
        <v>7500</v>
      </c>
      <c r="J176" s="2" t="s">
        <v>22</v>
      </c>
      <c r="K176" s="2">
        <v>38</v>
      </c>
      <c r="L176" s="2">
        <v>1</v>
      </c>
      <c r="M176" s="3">
        <v>1000</v>
      </c>
    </row>
    <row r="177" spans="1:13" hidden="1" x14ac:dyDescent="0.35">
      <c r="A177">
        <v>174</v>
      </c>
      <c r="B177" s="2" t="s">
        <v>19</v>
      </c>
      <c r="C177" s="2" t="s">
        <v>27</v>
      </c>
      <c r="D177" s="2" t="s">
        <v>28</v>
      </c>
      <c r="E177" s="2" t="s">
        <v>21</v>
      </c>
      <c r="F177" s="3">
        <v>32000</v>
      </c>
      <c r="G177" s="2" t="s">
        <v>25</v>
      </c>
      <c r="H177" s="3">
        <v>16000</v>
      </c>
      <c r="I177" s="3">
        <v>16000</v>
      </c>
      <c r="J177" s="2" t="s">
        <v>18</v>
      </c>
      <c r="K177" s="2">
        <v>45</v>
      </c>
      <c r="L177" s="2">
        <v>1</v>
      </c>
      <c r="M177" s="3">
        <v>1500</v>
      </c>
    </row>
    <row r="178" spans="1:13" hidden="1" x14ac:dyDescent="0.35">
      <c r="A178">
        <v>175</v>
      </c>
      <c r="B178" s="2" t="s">
        <v>13</v>
      </c>
      <c r="C178" s="2" t="s">
        <v>27</v>
      </c>
      <c r="D178" s="2" t="s">
        <v>30</v>
      </c>
      <c r="E178" s="2" t="s">
        <v>16</v>
      </c>
      <c r="F178" s="3">
        <v>19000</v>
      </c>
      <c r="G178" s="2" t="s">
        <v>17</v>
      </c>
      <c r="H178" s="3">
        <v>9500</v>
      </c>
      <c r="I178" s="3">
        <v>9500</v>
      </c>
      <c r="J178" s="2" t="s">
        <v>22</v>
      </c>
      <c r="K178" s="2">
        <v>28</v>
      </c>
      <c r="L178" s="2">
        <v>1</v>
      </c>
      <c r="M178" s="3">
        <v>800</v>
      </c>
    </row>
    <row r="179" spans="1:13" hidden="1" x14ac:dyDescent="0.35">
      <c r="A179">
        <v>176</v>
      </c>
      <c r="B179" s="2" t="s">
        <v>13</v>
      </c>
      <c r="C179" s="2" t="s">
        <v>27</v>
      </c>
      <c r="D179" s="2" t="s">
        <v>24</v>
      </c>
      <c r="E179" s="2" t="s">
        <v>16</v>
      </c>
      <c r="F179" s="3">
        <v>17000</v>
      </c>
      <c r="G179" s="2" t="s">
        <v>25</v>
      </c>
      <c r="H179" s="3">
        <v>8500</v>
      </c>
      <c r="I179" s="3">
        <v>8500</v>
      </c>
      <c r="J179" s="2" t="s">
        <v>18</v>
      </c>
      <c r="K179" s="2">
        <v>32</v>
      </c>
      <c r="L179" s="2">
        <v>1</v>
      </c>
      <c r="M179" s="3">
        <v>1200</v>
      </c>
    </row>
    <row r="180" spans="1:13" hidden="1" x14ac:dyDescent="0.35">
      <c r="A180">
        <v>177</v>
      </c>
      <c r="B180" s="2" t="s">
        <v>19</v>
      </c>
      <c r="C180" s="2" t="s">
        <v>27</v>
      </c>
      <c r="D180" s="2" t="s">
        <v>26</v>
      </c>
      <c r="E180" s="2" t="s">
        <v>21</v>
      </c>
      <c r="F180" s="3">
        <v>40000</v>
      </c>
      <c r="G180" s="2" t="s">
        <v>17</v>
      </c>
      <c r="H180" s="3">
        <v>20000</v>
      </c>
      <c r="I180" s="3">
        <v>20000</v>
      </c>
      <c r="J180" s="2" t="s">
        <v>22</v>
      </c>
      <c r="K180" s="2">
        <v>50</v>
      </c>
      <c r="L180" s="2">
        <v>1</v>
      </c>
      <c r="M180" s="3">
        <v>1000</v>
      </c>
    </row>
    <row r="181" spans="1:13" hidden="1" x14ac:dyDescent="0.35">
      <c r="A181">
        <v>178</v>
      </c>
      <c r="B181" s="2" t="s">
        <v>13</v>
      </c>
      <c r="C181" s="2" t="s">
        <v>27</v>
      </c>
      <c r="D181" s="2" t="s">
        <v>15</v>
      </c>
      <c r="E181" s="2" t="s">
        <v>16</v>
      </c>
      <c r="F181" s="3">
        <v>15000</v>
      </c>
      <c r="G181" s="2" t="s">
        <v>25</v>
      </c>
      <c r="H181" s="3">
        <v>7500</v>
      </c>
      <c r="I181" s="3">
        <v>7500</v>
      </c>
      <c r="J181" s="2" t="s">
        <v>18</v>
      </c>
      <c r="K181" s="2">
        <v>35</v>
      </c>
      <c r="L181" s="2">
        <v>1</v>
      </c>
      <c r="M181" s="3">
        <v>700</v>
      </c>
    </row>
    <row r="182" spans="1:13" hidden="1" x14ac:dyDescent="0.35">
      <c r="A182">
        <v>179</v>
      </c>
      <c r="B182" s="2" t="s">
        <v>19</v>
      </c>
      <c r="C182" s="2" t="s">
        <v>27</v>
      </c>
      <c r="D182" s="2" t="s">
        <v>28</v>
      </c>
      <c r="E182" s="2" t="s">
        <v>21</v>
      </c>
      <c r="F182" s="3">
        <v>30000</v>
      </c>
      <c r="G182" s="2" t="s">
        <v>17</v>
      </c>
      <c r="H182" s="3">
        <v>15000</v>
      </c>
      <c r="I182" s="3">
        <v>15000</v>
      </c>
      <c r="J182" s="2" t="s">
        <v>22</v>
      </c>
      <c r="K182" s="2">
        <v>42</v>
      </c>
      <c r="L182" s="2">
        <v>1</v>
      </c>
      <c r="M182" s="3">
        <v>900</v>
      </c>
    </row>
    <row r="183" spans="1:13" x14ac:dyDescent="0.35">
      <c r="A183">
        <v>180</v>
      </c>
      <c r="B183" s="2" t="s">
        <v>13</v>
      </c>
      <c r="C183" s="2" t="s">
        <v>27</v>
      </c>
      <c r="D183" s="2" t="s">
        <v>20</v>
      </c>
      <c r="E183" s="2" t="s">
        <v>16</v>
      </c>
      <c r="F183" s="3">
        <v>16000</v>
      </c>
      <c r="G183" s="2" t="s">
        <v>25</v>
      </c>
      <c r="H183" s="3">
        <v>8000</v>
      </c>
      <c r="I183" s="3">
        <v>8000</v>
      </c>
      <c r="J183" s="2" t="s">
        <v>18</v>
      </c>
      <c r="K183" s="2">
        <v>50</v>
      </c>
      <c r="L183" s="2">
        <v>1</v>
      </c>
      <c r="M183" s="3">
        <v>600</v>
      </c>
    </row>
    <row r="184" spans="1:13" hidden="1" x14ac:dyDescent="0.35">
      <c r="A184">
        <v>181</v>
      </c>
      <c r="B184" s="2" t="s">
        <v>13</v>
      </c>
      <c r="C184" s="2" t="s">
        <v>27</v>
      </c>
      <c r="D184" s="2" t="s">
        <v>24</v>
      </c>
      <c r="E184" s="2" t="s">
        <v>16</v>
      </c>
      <c r="F184" s="3">
        <v>18000</v>
      </c>
      <c r="G184" s="2" t="s">
        <v>17</v>
      </c>
      <c r="H184" s="3">
        <v>9000</v>
      </c>
      <c r="I184" s="3">
        <v>9000</v>
      </c>
      <c r="J184" s="2" t="s">
        <v>22</v>
      </c>
      <c r="K184" s="2">
        <v>30</v>
      </c>
      <c r="L184" s="2">
        <v>1</v>
      </c>
      <c r="M184" s="3">
        <v>800</v>
      </c>
    </row>
    <row r="185" spans="1:13" hidden="1" x14ac:dyDescent="0.35">
      <c r="A185">
        <v>182</v>
      </c>
      <c r="B185" s="2" t="s">
        <v>19</v>
      </c>
      <c r="C185" s="2" t="s">
        <v>27</v>
      </c>
      <c r="D185" s="2" t="s">
        <v>26</v>
      </c>
      <c r="E185" s="2" t="s">
        <v>21</v>
      </c>
      <c r="F185" s="3">
        <v>32000</v>
      </c>
      <c r="G185" s="2" t="s">
        <v>25</v>
      </c>
      <c r="H185" s="3">
        <v>16000</v>
      </c>
      <c r="I185" s="3">
        <v>16000</v>
      </c>
      <c r="J185" s="2" t="s">
        <v>18</v>
      </c>
      <c r="K185" s="2">
        <v>40</v>
      </c>
      <c r="L185" s="2">
        <v>1</v>
      </c>
      <c r="M185" s="3">
        <v>1000</v>
      </c>
    </row>
    <row r="186" spans="1:13" hidden="1" x14ac:dyDescent="0.35">
      <c r="A186">
        <v>183</v>
      </c>
      <c r="B186" s="2" t="s">
        <v>13</v>
      </c>
      <c r="C186" s="2" t="s">
        <v>27</v>
      </c>
      <c r="D186" s="2" t="s">
        <v>15</v>
      </c>
      <c r="E186" s="2" t="s">
        <v>16</v>
      </c>
      <c r="F186" s="3">
        <v>15000</v>
      </c>
      <c r="G186" s="2" t="s">
        <v>17</v>
      </c>
      <c r="H186" s="3">
        <v>7500</v>
      </c>
      <c r="I186" s="3">
        <v>7500</v>
      </c>
      <c r="J186" s="2" t="s">
        <v>22</v>
      </c>
      <c r="K186" s="2">
        <v>38</v>
      </c>
      <c r="L186" s="2">
        <v>1</v>
      </c>
      <c r="M186" s="3">
        <v>900</v>
      </c>
    </row>
    <row r="187" spans="1:13" hidden="1" x14ac:dyDescent="0.35">
      <c r="A187">
        <v>184</v>
      </c>
      <c r="B187" s="2" t="s">
        <v>19</v>
      </c>
      <c r="C187" s="2" t="s">
        <v>27</v>
      </c>
      <c r="D187" s="2" t="s">
        <v>28</v>
      </c>
      <c r="E187" s="2" t="s">
        <v>21</v>
      </c>
      <c r="F187" s="3">
        <v>30000</v>
      </c>
      <c r="G187" s="2" t="s">
        <v>25</v>
      </c>
      <c r="H187" s="3">
        <v>15000</v>
      </c>
      <c r="I187" s="3">
        <v>15000</v>
      </c>
      <c r="J187" s="2" t="s">
        <v>18</v>
      </c>
      <c r="K187" s="2">
        <v>45</v>
      </c>
      <c r="L187" s="2">
        <v>1</v>
      </c>
      <c r="M187" s="3">
        <v>1200</v>
      </c>
    </row>
    <row r="188" spans="1:13" hidden="1" x14ac:dyDescent="0.35">
      <c r="A188">
        <v>185</v>
      </c>
      <c r="B188" s="2" t="s">
        <v>13</v>
      </c>
      <c r="C188" s="2" t="s">
        <v>27</v>
      </c>
      <c r="D188" s="2" t="s">
        <v>30</v>
      </c>
      <c r="E188" s="2" t="s">
        <v>16</v>
      </c>
      <c r="F188" s="3">
        <v>19000</v>
      </c>
      <c r="G188" s="2" t="s">
        <v>17</v>
      </c>
      <c r="H188" s="3">
        <v>9500</v>
      </c>
      <c r="I188" s="3">
        <v>9500</v>
      </c>
      <c r="J188" s="2" t="s">
        <v>22</v>
      </c>
      <c r="K188" s="2">
        <v>28</v>
      </c>
      <c r="L188" s="2">
        <v>1</v>
      </c>
      <c r="M188" s="3">
        <v>1000</v>
      </c>
    </row>
    <row r="189" spans="1:13" hidden="1" x14ac:dyDescent="0.35">
      <c r="A189">
        <v>186</v>
      </c>
      <c r="B189" s="2" t="s">
        <v>13</v>
      </c>
      <c r="C189" s="2" t="s">
        <v>27</v>
      </c>
      <c r="D189" s="2" t="s">
        <v>24</v>
      </c>
      <c r="E189" s="2" t="s">
        <v>16</v>
      </c>
      <c r="F189" s="3">
        <v>17000</v>
      </c>
      <c r="G189" s="2" t="s">
        <v>25</v>
      </c>
      <c r="H189" s="3">
        <v>8500</v>
      </c>
      <c r="I189" s="3">
        <v>8500</v>
      </c>
      <c r="J189" s="2" t="s">
        <v>18</v>
      </c>
      <c r="K189" s="2">
        <v>32</v>
      </c>
      <c r="L189" s="2">
        <v>1</v>
      </c>
      <c r="M189" s="3">
        <v>700</v>
      </c>
    </row>
    <row r="190" spans="1:13" hidden="1" x14ac:dyDescent="0.35">
      <c r="A190">
        <v>187</v>
      </c>
      <c r="B190" s="2" t="s">
        <v>19</v>
      </c>
      <c r="C190" s="2" t="s">
        <v>27</v>
      </c>
      <c r="D190" s="2" t="s">
        <v>26</v>
      </c>
      <c r="E190" s="2" t="s">
        <v>21</v>
      </c>
      <c r="F190" s="3">
        <v>40000</v>
      </c>
      <c r="G190" s="2" t="s">
        <v>17</v>
      </c>
      <c r="H190" s="3">
        <v>20000</v>
      </c>
      <c r="I190" s="3">
        <v>20000</v>
      </c>
      <c r="J190" s="2" t="s">
        <v>22</v>
      </c>
      <c r="K190" s="2">
        <v>50</v>
      </c>
      <c r="L190" s="2">
        <v>1</v>
      </c>
      <c r="M190" s="3">
        <v>1100</v>
      </c>
    </row>
    <row r="191" spans="1:13" hidden="1" x14ac:dyDescent="0.35">
      <c r="A191">
        <v>189</v>
      </c>
      <c r="B191" s="2" t="s">
        <v>13</v>
      </c>
      <c r="C191" s="2" t="s">
        <v>27</v>
      </c>
      <c r="D191" s="2" t="s">
        <v>15</v>
      </c>
      <c r="E191" s="2" t="s">
        <v>16</v>
      </c>
      <c r="F191" s="3">
        <v>15000</v>
      </c>
      <c r="G191" s="2" t="s">
        <v>25</v>
      </c>
      <c r="H191" s="3">
        <v>7500</v>
      </c>
      <c r="I191" s="3">
        <v>7500</v>
      </c>
      <c r="J191" s="2" t="s">
        <v>18</v>
      </c>
      <c r="K191" s="2">
        <v>35</v>
      </c>
      <c r="L191" s="2">
        <v>1</v>
      </c>
      <c r="M191" s="3">
        <v>1000</v>
      </c>
    </row>
    <row r="192" spans="1:13" hidden="1" x14ac:dyDescent="0.35">
      <c r="A192">
        <v>200</v>
      </c>
      <c r="B192" s="2" t="s">
        <v>19</v>
      </c>
      <c r="C192" s="2" t="s">
        <v>27</v>
      </c>
      <c r="D192" s="2" t="s">
        <v>28</v>
      </c>
      <c r="E192" s="2" t="s">
        <v>21</v>
      </c>
      <c r="F192" s="3">
        <v>30000</v>
      </c>
      <c r="G192" s="2" t="s">
        <v>17</v>
      </c>
      <c r="H192" s="3">
        <v>15000</v>
      </c>
      <c r="I192" s="3">
        <v>15000</v>
      </c>
      <c r="J192" s="2" t="s">
        <v>22</v>
      </c>
      <c r="K192" s="2">
        <v>42</v>
      </c>
      <c r="L192" s="2">
        <v>1</v>
      </c>
      <c r="M192" s="3">
        <v>900</v>
      </c>
    </row>
    <row r="193" spans="1:13" x14ac:dyDescent="0.35">
      <c r="A193">
        <v>201</v>
      </c>
      <c r="B193" s="2" t="s">
        <v>13</v>
      </c>
      <c r="C193" s="2" t="s">
        <v>27</v>
      </c>
      <c r="D193" s="2" t="s">
        <v>20</v>
      </c>
      <c r="E193" s="2" t="s">
        <v>16</v>
      </c>
      <c r="F193" s="3">
        <v>16000</v>
      </c>
      <c r="G193" s="2" t="s">
        <v>25</v>
      </c>
      <c r="H193" s="3">
        <v>8000</v>
      </c>
      <c r="I193" s="3">
        <v>8000</v>
      </c>
      <c r="J193" s="2" t="s">
        <v>18</v>
      </c>
      <c r="K193" s="2">
        <v>50</v>
      </c>
      <c r="L193" s="2">
        <v>1</v>
      </c>
      <c r="M193" s="3">
        <v>1100</v>
      </c>
    </row>
    <row r="194" spans="1:13" hidden="1" x14ac:dyDescent="0.35">
      <c r="A194">
        <v>202</v>
      </c>
      <c r="B194" s="2" t="s">
        <v>13</v>
      </c>
      <c r="C194" s="2" t="s">
        <v>27</v>
      </c>
      <c r="D194" s="2" t="s">
        <v>24</v>
      </c>
      <c r="E194" s="2" t="s">
        <v>16</v>
      </c>
      <c r="F194" s="3">
        <v>18000</v>
      </c>
      <c r="G194" s="2" t="s">
        <v>17</v>
      </c>
      <c r="H194" s="3">
        <v>9000</v>
      </c>
      <c r="I194" s="3">
        <v>9000</v>
      </c>
      <c r="J194" s="2" t="s">
        <v>22</v>
      </c>
      <c r="K194" s="2">
        <v>35</v>
      </c>
      <c r="L194" s="2">
        <v>1</v>
      </c>
      <c r="M194" s="3">
        <v>900</v>
      </c>
    </row>
    <row r="195" spans="1:13" hidden="1" x14ac:dyDescent="0.35">
      <c r="A195">
        <v>203</v>
      </c>
      <c r="B195" s="2" t="s">
        <v>19</v>
      </c>
      <c r="C195" s="2" t="s">
        <v>27</v>
      </c>
      <c r="D195" s="2" t="s">
        <v>26</v>
      </c>
      <c r="E195" s="2" t="s">
        <v>21</v>
      </c>
      <c r="F195" s="3">
        <v>35000</v>
      </c>
      <c r="G195" s="2" t="s">
        <v>25</v>
      </c>
      <c r="H195" s="3">
        <v>17500</v>
      </c>
      <c r="I195" s="3">
        <v>17500</v>
      </c>
      <c r="J195" s="2" t="s">
        <v>18</v>
      </c>
      <c r="K195" s="2">
        <v>50</v>
      </c>
      <c r="L195" s="2">
        <v>1</v>
      </c>
      <c r="M195" s="3">
        <v>1300</v>
      </c>
    </row>
    <row r="196" spans="1:13" hidden="1" x14ac:dyDescent="0.35">
      <c r="A196">
        <v>204</v>
      </c>
      <c r="B196" s="2" t="s">
        <v>13</v>
      </c>
      <c r="C196" s="2" t="s">
        <v>27</v>
      </c>
      <c r="D196" s="2" t="s">
        <v>15</v>
      </c>
      <c r="E196" s="2" t="s">
        <v>16</v>
      </c>
      <c r="F196" s="3">
        <v>15000</v>
      </c>
      <c r="G196" s="2" t="s">
        <v>17</v>
      </c>
      <c r="H196" s="3">
        <v>7500</v>
      </c>
      <c r="I196" s="3">
        <v>7500</v>
      </c>
      <c r="J196" s="2" t="s">
        <v>22</v>
      </c>
      <c r="K196" s="2">
        <v>38</v>
      </c>
      <c r="L196" s="2">
        <v>1</v>
      </c>
      <c r="M196" s="3">
        <v>1100</v>
      </c>
    </row>
    <row r="197" spans="1:13" hidden="1" x14ac:dyDescent="0.35">
      <c r="A197">
        <v>205</v>
      </c>
      <c r="B197" s="2" t="s">
        <v>19</v>
      </c>
      <c r="C197" s="2" t="s">
        <v>27</v>
      </c>
      <c r="D197" s="2" t="s">
        <v>28</v>
      </c>
      <c r="E197" s="2" t="s">
        <v>21</v>
      </c>
      <c r="F197" s="3">
        <v>30000</v>
      </c>
      <c r="G197" s="2" t="s">
        <v>25</v>
      </c>
      <c r="H197" s="3">
        <v>15000</v>
      </c>
      <c r="I197" s="3">
        <v>15000</v>
      </c>
      <c r="J197" s="2" t="s">
        <v>18</v>
      </c>
      <c r="K197" s="2">
        <v>42</v>
      </c>
      <c r="L197" s="2">
        <v>1</v>
      </c>
      <c r="M197" s="3">
        <v>1200</v>
      </c>
    </row>
    <row r="198" spans="1:13" hidden="1" x14ac:dyDescent="0.35">
      <c r="A198">
        <v>206</v>
      </c>
      <c r="B198" s="2" t="s">
        <v>13</v>
      </c>
      <c r="C198" s="2" t="s">
        <v>27</v>
      </c>
      <c r="D198" s="2" t="s">
        <v>30</v>
      </c>
      <c r="E198" s="2" t="s">
        <v>16</v>
      </c>
      <c r="F198" s="3">
        <v>19000</v>
      </c>
      <c r="G198" s="2" t="s">
        <v>17</v>
      </c>
      <c r="H198" s="3">
        <v>9500</v>
      </c>
      <c r="I198" s="3">
        <v>9500</v>
      </c>
      <c r="J198" s="2" t="s">
        <v>22</v>
      </c>
      <c r="K198" s="2">
        <v>28</v>
      </c>
      <c r="L198" s="2">
        <v>1</v>
      </c>
      <c r="M198" s="3">
        <v>1000</v>
      </c>
    </row>
    <row r="199" spans="1:13" hidden="1" x14ac:dyDescent="0.35">
      <c r="A199">
        <v>207</v>
      </c>
      <c r="B199" s="2" t="s">
        <v>13</v>
      </c>
      <c r="C199" s="2" t="s">
        <v>27</v>
      </c>
      <c r="D199" s="2" t="s">
        <v>24</v>
      </c>
      <c r="E199" s="2" t="s">
        <v>16</v>
      </c>
      <c r="F199" s="3">
        <v>17000</v>
      </c>
      <c r="G199" s="2" t="s">
        <v>25</v>
      </c>
      <c r="H199" s="3">
        <v>8500</v>
      </c>
      <c r="I199" s="3">
        <v>8500</v>
      </c>
      <c r="J199" s="2" t="s">
        <v>18</v>
      </c>
      <c r="K199" s="2">
        <v>32</v>
      </c>
      <c r="L199" s="2">
        <v>1</v>
      </c>
      <c r="M199" s="3">
        <v>900</v>
      </c>
    </row>
    <row r="200" spans="1:13" hidden="1" x14ac:dyDescent="0.35">
      <c r="A200">
        <v>208</v>
      </c>
      <c r="B200" s="2" t="s">
        <v>19</v>
      </c>
      <c r="C200" s="2" t="s">
        <v>27</v>
      </c>
      <c r="D200" s="2" t="s">
        <v>26</v>
      </c>
      <c r="E200" s="2" t="s">
        <v>21</v>
      </c>
      <c r="F200" s="3">
        <v>40000</v>
      </c>
      <c r="G200" s="2" t="s">
        <v>17</v>
      </c>
      <c r="H200" s="3">
        <v>20000</v>
      </c>
      <c r="I200" s="3">
        <v>20000</v>
      </c>
      <c r="J200" s="2" t="s">
        <v>22</v>
      </c>
      <c r="K200" s="2">
        <v>50</v>
      </c>
      <c r="L200" s="2">
        <v>1</v>
      </c>
      <c r="M200" s="3">
        <v>1000</v>
      </c>
    </row>
    <row r="201" spans="1:13" hidden="1" x14ac:dyDescent="0.35">
      <c r="A201">
        <v>209</v>
      </c>
      <c r="B201" s="2" t="s">
        <v>13</v>
      </c>
      <c r="C201" s="2" t="s">
        <v>27</v>
      </c>
      <c r="D201" s="2" t="s">
        <v>15</v>
      </c>
      <c r="E201" s="2" t="s">
        <v>16</v>
      </c>
      <c r="F201" s="3">
        <v>15000</v>
      </c>
      <c r="G201" s="2" t="s">
        <v>25</v>
      </c>
      <c r="H201" s="3">
        <v>7500</v>
      </c>
      <c r="I201" s="3">
        <v>7500</v>
      </c>
      <c r="J201" s="2" t="s">
        <v>18</v>
      </c>
      <c r="K201" s="2">
        <v>35</v>
      </c>
      <c r="L201" s="2">
        <v>1</v>
      </c>
      <c r="M201" s="3">
        <v>800</v>
      </c>
    </row>
    <row r="202" spans="1:13" hidden="1" x14ac:dyDescent="0.35">
      <c r="A202">
        <v>210</v>
      </c>
      <c r="B202" s="2" t="s">
        <v>19</v>
      </c>
      <c r="C202" s="2" t="s">
        <v>27</v>
      </c>
      <c r="D202" s="2" t="s">
        <v>28</v>
      </c>
      <c r="E202" s="2" t="s">
        <v>21</v>
      </c>
      <c r="F202" s="3">
        <v>30000</v>
      </c>
      <c r="G202" s="2" t="s">
        <v>17</v>
      </c>
      <c r="H202" s="3">
        <v>15000</v>
      </c>
      <c r="I202" s="3">
        <v>15000</v>
      </c>
      <c r="J202" s="2" t="s">
        <v>22</v>
      </c>
      <c r="K202" s="2">
        <v>42</v>
      </c>
      <c r="L202" s="2">
        <v>1</v>
      </c>
      <c r="M202" s="3">
        <v>700</v>
      </c>
    </row>
    <row r="203" spans="1:13" x14ac:dyDescent="0.35">
      <c r="A203">
        <v>211</v>
      </c>
      <c r="B203" s="2" t="s">
        <v>13</v>
      </c>
      <c r="C203" s="2" t="s">
        <v>27</v>
      </c>
      <c r="D203" s="2" t="s">
        <v>20</v>
      </c>
      <c r="E203" s="2" t="s">
        <v>16</v>
      </c>
      <c r="F203" s="3">
        <v>16000</v>
      </c>
      <c r="G203" s="2" t="s">
        <v>25</v>
      </c>
      <c r="H203" s="3">
        <v>8000</v>
      </c>
      <c r="I203" s="3">
        <v>8000</v>
      </c>
      <c r="J203" s="2" t="s">
        <v>18</v>
      </c>
      <c r="K203" s="2">
        <v>50</v>
      </c>
      <c r="L203" s="2">
        <v>1</v>
      </c>
      <c r="M203" s="3">
        <v>1100</v>
      </c>
    </row>
    <row r="204" spans="1:13" hidden="1" x14ac:dyDescent="0.35">
      <c r="A204">
        <v>212</v>
      </c>
      <c r="B204" s="2" t="s">
        <v>13</v>
      </c>
      <c r="C204" s="2" t="s">
        <v>27</v>
      </c>
      <c r="D204" s="2" t="s">
        <v>24</v>
      </c>
      <c r="E204" s="2" t="s">
        <v>16</v>
      </c>
      <c r="F204" s="3">
        <v>18000</v>
      </c>
      <c r="G204" s="2" t="s">
        <v>17</v>
      </c>
      <c r="H204" s="3">
        <v>9000</v>
      </c>
      <c r="I204" s="3">
        <v>9000</v>
      </c>
      <c r="J204" s="2" t="s">
        <v>22</v>
      </c>
      <c r="K204" s="2">
        <v>30</v>
      </c>
      <c r="L204" s="2">
        <v>1</v>
      </c>
      <c r="M204" s="3">
        <v>900</v>
      </c>
    </row>
    <row r="205" spans="1:13" hidden="1" x14ac:dyDescent="0.35">
      <c r="A205">
        <v>213</v>
      </c>
      <c r="B205" s="2" t="s">
        <v>19</v>
      </c>
      <c r="C205" s="2" t="s">
        <v>27</v>
      </c>
      <c r="D205" s="2" t="s">
        <v>26</v>
      </c>
      <c r="E205" s="2" t="s">
        <v>21</v>
      </c>
      <c r="F205" s="3">
        <v>32000</v>
      </c>
      <c r="G205" s="2" t="s">
        <v>25</v>
      </c>
      <c r="H205" s="3">
        <v>16000</v>
      </c>
      <c r="I205" s="3">
        <v>16000</v>
      </c>
      <c r="J205" s="2" t="s">
        <v>18</v>
      </c>
      <c r="K205" s="2">
        <v>40</v>
      </c>
      <c r="L205" s="2">
        <v>1</v>
      </c>
      <c r="M205" s="3">
        <v>1000</v>
      </c>
    </row>
    <row r="206" spans="1:13" hidden="1" x14ac:dyDescent="0.35">
      <c r="A206">
        <v>214</v>
      </c>
      <c r="B206" s="2" t="s">
        <v>13</v>
      </c>
      <c r="C206" s="2" t="s">
        <v>27</v>
      </c>
      <c r="D206" s="2" t="s">
        <v>15</v>
      </c>
      <c r="E206" s="2" t="s">
        <v>16</v>
      </c>
      <c r="F206" s="3">
        <v>15000</v>
      </c>
      <c r="G206" s="2" t="s">
        <v>17</v>
      </c>
      <c r="H206" s="3">
        <v>7500</v>
      </c>
      <c r="I206" s="3">
        <v>7500</v>
      </c>
      <c r="J206" s="2" t="s">
        <v>22</v>
      </c>
      <c r="K206" s="2">
        <v>38</v>
      </c>
      <c r="L206" s="2">
        <v>1</v>
      </c>
      <c r="M206" s="3">
        <v>900</v>
      </c>
    </row>
    <row r="207" spans="1:13" hidden="1" x14ac:dyDescent="0.35">
      <c r="A207">
        <v>215</v>
      </c>
      <c r="B207" s="2" t="s">
        <v>19</v>
      </c>
      <c r="C207" s="2" t="s">
        <v>27</v>
      </c>
      <c r="D207" s="2" t="s">
        <v>28</v>
      </c>
      <c r="E207" s="2" t="s">
        <v>21</v>
      </c>
      <c r="F207" s="3">
        <v>30000</v>
      </c>
      <c r="G207" s="2" t="s">
        <v>25</v>
      </c>
      <c r="H207" s="3">
        <v>15000</v>
      </c>
      <c r="I207" s="3">
        <v>15000</v>
      </c>
      <c r="J207" s="2" t="s">
        <v>18</v>
      </c>
      <c r="K207" s="2">
        <v>45</v>
      </c>
      <c r="L207" s="2">
        <v>1</v>
      </c>
      <c r="M207" s="3">
        <v>1200</v>
      </c>
    </row>
    <row r="208" spans="1:13" hidden="1" x14ac:dyDescent="0.35">
      <c r="A208">
        <v>216</v>
      </c>
      <c r="B208" s="2" t="s">
        <v>13</v>
      </c>
      <c r="C208" s="2" t="s">
        <v>27</v>
      </c>
      <c r="D208" s="2" t="s">
        <v>30</v>
      </c>
      <c r="E208" s="2" t="s">
        <v>16</v>
      </c>
      <c r="F208" s="3">
        <v>19000</v>
      </c>
      <c r="G208" s="2" t="s">
        <v>17</v>
      </c>
      <c r="H208" s="3">
        <v>9500</v>
      </c>
      <c r="I208" s="3">
        <v>9500</v>
      </c>
      <c r="J208" s="2" t="s">
        <v>22</v>
      </c>
      <c r="K208" s="2">
        <v>28</v>
      </c>
      <c r="L208" s="2">
        <v>1</v>
      </c>
      <c r="M208" s="3">
        <v>800</v>
      </c>
    </row>
    <row r="209" spans="1:13" hidden="1" x14ac:dyDescent="0.35">
      <c r="A209">
        <v>217</v>
      </c>
      <c r="B209" s="2" t="s">
        <v>13</v>
      </c>
      <c r="C209" s="2" t="s">
        <v>27</v>
      </c>
      <c r="D209" s="2" t="s">
        <v>24</v>
      </c>
      <c r="E209" s="2" t="s">
        <v>16</v>
      </c>
      <c r="F209" s="3">
        <v>17000</v>
      </c>
      <c r="G209" s="2" t="s">
        <v>25</v>
      </c>
      <c r="H209" s="3">
        <v>8500</v>
      </c>
      <c r="I209" s="3">
        <v>8500</v>
      </c>
      <c r="J209" s="2" t="s">
        <v>18</v>
      </c>
      <c r="K209" s="2">
        <v>32</v>
      </c>
      <c r="L209" s="2">
        <v>1</v>
      </c>
      <c r="M209" s="3">
        <v>1000</v>
      </c>
    </row>
    <row r="210" spans="1:13" hidden="1" x14ac:dyDescent="0.35">
      <c r="A210">
        <v>218</v>
      </c>
      <c r="B210" s="2" t="s">
        <v>19</v>
      </c>
      <c r="C210" s="2" t="s">
        <v>27</v>
      </c>
      <c r="D210" s="2" t="s">
        <v>26</v>
      </c>
      <c r="E210" s="2" t="s">
        <v>21</v>
      </c>
      <c r="F210" s="3">
        <v>40000</v>
      </c>
      <c r="G210" s="2" t="s">
        <v>17</v>
      </c>
      <c r="H210" s="3">
        <v>20000</v>
      </c>
      <c r="I210" s="3">
        <v>20000</v>
      </c>
      <c r="J210" s="2" t="s">
        <v>22</v>
      </c>
      <c r="K210" s="2">
        <v>50</v>
      </c>
      <c r="L210" s="2">
        <v>1</v>
      </c>
      <c r="M210" s="3">
        <v>900</v>
      </c>
    </row>
    <row r="211" spans="1:13" hidden="1" x14ac:dyDescent="0.35">
      <c r="A211">
        <v>219</v>
      </c>
      <c r="B211" s="2" t="s">
        <v>13</v>
      </c>
      <c r="C211" s="2" t="s">
        <v>27</v>
      </c>
      <c r="D211" s="2" t="s">
        <v>15</v>
      </c>
      <c r="E211" s="2" t="s">
        <v>16</v>
      </c>
      <c r="F211" s="3">
        <v>15000</v>
      </c>
      <c r="G211" s="2" t="s">
        <v>25</v>
      </c>
      <c r="H211" s="3">
        <v>7500</v>
      </c>
      <c r="I211" s="3">
        <v>7500</v>
      </c>
      <c r="J211" s="2" t="s">
        <v>18</v>
      </c>
      <c r="K211" s="2">
        <v>35</v>
      </c>
      <c r="L211" s="2">
        <v>1</v>
      </c>
      <c r="M211" s="3">
        <v>1000</v>
      </c>
    </row>
    <row r="212" spans="1:13" hidden="1" x14ac:dyDescent="0.35">
      <c r="A212">
        <v>220</v>
      </c>
      <c r="B212" s="2" t="s">
        <v>19</v>
      </c>
      <c r="C212" s="2" t="s">
        <v>27</v>
      </c>
      <c r="D212" s="2" t="s">
        <v>28</v>
      </c>
      <c r="E212" s="2" t="s">
        <v>21</v>
      </c>
      <c r="F212" s="3">
        <v>30000</v>
      </c>
      <c r="G212" s="2" t="s">
        <v>17</v>
      </c>
      <c r="H212" s="3">
        <v>15000</v>
      </c>
      <c r="I212" s="3">
        <v>15000</v>
      </c>
      <c r="J212" s="2" t="s">
        <v>22</v>
      </c>
      <c r="K212" s="2">
        <v>42</v>
      </c>
      <c r="L212" s="2">
        <v>1</v>
      </c>
      <c r="M212" s="3">
        <v>900</v>
      </c>
    </row>
    <row r="213" spans="1:13" x14ac:dyDescent="0.35">
      <c r="A213">
        <v>221</v>
      </c>
      <c r="B213" s="2" t="s">
        <v>13</v>
      </c>
      <c r="C213" s="2" t="s">
        <v>27</v>
      </c>
      <c r="D213" s="2" t="s">
        <v>20</v>
      </c>
      <c r="E213" s="2" t="s">
        <v>16</v>
      </c>
      <c r="F213" s="3">
        <v>16000</v>
      </c>
      <c r="G213" s="2" t="s">
        <v>25</v>
      </c>
      <c r="H213" s="3">
        <v>8000</v>
      </c>
      <c r="I213" s="3">
        <v>8000</v>
      </c>
      <c r="J213" s="2" t="s">
        <v>18</v>
      </c>
      <c r="K213" s="2">
        <v>50</v>
      </c>
      <c r="L213" s="2">
        <v>1</v>
      </c>
      <c r="M213" s="3">
        <v>800</v>
      </c>
    </row>
    <row r="214" spans="1:13" hidden="1" x14ac:dyDescent="0.35">
      <c r="A214">
        <v>222</v>
      </c>
      <c r="B214" s="2" t="s">
        <v>13</v>
      </c>
      <c r="C214" s="2" t="s">
        <v>27</v>
      </c>
      <c r="D214" s="2" t="s">
        <v>24</v>
      </c>
      <c r="E214" s="2" t="s">
        <v>16</v>
      </c>
      <c r="F214" s="3">
        <v>18000</v>
      </c>
      <c r="G214" s="2" t="s">
        <v>17</v>
      </c>
      <c r="H214" s="3">
        <v>9000</v>
      </c>
      <c r="I214" s="3">
        <v>9000</v>
      </c>
      <c r="J214" s="2" t="s">
        <v>22</v>
      </c>
      <c r="K214" s="2">
        <v>30</v>
      </c>
      <c r="L214" s="2">
        <v>1</v>
      </c>
      <c r="M214" s="3">
        <v>1200</v>
      </c>
    </row>
    <row r="215" spans="1:13" hidden="1" x14ac:dyDescent="0.35">
      <c r="A215">
        <v>223</v>
      </c>
      <c r="B215" s="2" t="s">
        <v>19</v>
      </c>
      <c r="C215" s="2" t="s">
        <v>27</v>
      </c>
      <c r="D215" s="2" t="s">
        <v>26</v>
      </c>
      <c r="E215" s="2" t="s">
        <v>21</v>
      </c>
      <c r="F215" s="3">
        <v>32000</v>
      </c>
      <c r="G215" s="2" t="s">
        <v>25</v>
      </c>
      <c r="H215" s="3">
        <v>16000</v>
      </c>
      <c r="I215" s="3">
        <v>16000</v>
      </c>
      <c r="J215" s="2" t="s">
        <v>18</v>
      </c>
      <c r="K215" s="2">
        <v>40</v>
      </c>
      <c r="L215" s="2">
        <v>1</v>
      </c>
      <c r="M215" s="3">
        <v>900</v>
      </c>
    </row>
    <row r="217" spans="1:13" x14ac:dyDescent="0.35">
      <c r="A217" t="s">
        <v>31</v>
      </c>
      <c r="F217" s="5"/>
      <c r="H217" s="5"/>
      <c r="I217" s="5"/>
      <c r="J217" s="5"/>
      <c r="M217" s="5">
        <f>_xlfn.STDEV.P(M2:M215)</f>
        <v>645.36804434069029</v>
      </c>
    </row>
    <row r="218" spans="1:13" x14ac:dyDescent="0.35">
      <c r="A218" t="s">
        <v>32</v>
      </c>
      <c r="F218" s="5"/>
      <c r="G218" s="5" t="e">
        <f t="shared" ref="G218:M218" si="3">MEDIAN(G2:G215)</f>
        <v>#NUM!</v>
      </c>
      <c r="H218" s="5">
        <f t="shared" si="3"/>
        <v>10000</v>
      </c>
      <c r="I218" s="5">
        <f t="shared" si="3"/>
        <v>10000</v>
      </c>
      <c r="J218" s="5" t="e">
        <f>MEDIAN(J2:J215)</f>
        <v>#NUM!</v>
      </c>
      <c r="K218" s="5">
        <f t="shared" si="3"/>
        <v>42</v>
      </c>
      <c r="L218" s="5">
        <f t="shared" si="3"/>
        <v>1</v>
      </c>
      <c r="M218" s="5">
        <f t="shared" si="3"/>
        <v>1000</v>
      </c>
    </row>
    <row r="219" spans="1:13" x14ac:dyDescent="0.35">
      <c r="A219" t="s">
        <v>33</v>
      </c>
      <c r="E219" t="s">
        <v>34</v>
      </c>
      <c r="F219" s="6"/>
      <c r="G219" s="6"/>
      <c r="H219" s="6"/>
      <c r="I219" s="6"/>
      <c r="J219" s="6"/>
      <c r="M219" s="5"/>
    </row>
    <row r="220" spans="1:13" x14ac:dyDescent="0.35">
      <c r="A220" t="s">
        <v>35</v>
      </c>
      <c r="F220" s="6"/>
      <c r="G220" s="6">
        <f t="shared" ref="G220:M220" si="4">MAX(G2:G215)</f>
        <v>0</v>
      </c>
      <c r="H220" s="6">
        <f t="shared" si="4"/>
        <v>300000</v>
      </c>
      <c r="I220" s="6">
        <f t="shared" si="4"/>
        <v>300000</v>
      </c>
      <c r="J220" s="6">
        <f t="shared" si="4"/>
        <v>0</v>
      </c>
      <c r="K220" s="6">
        <f t="shared" si="4"/>
        <v>60</v>
      </c>
      <c r="L220" s="6">
        <f t="shared" si="4"/>
        <v>2</v>
      </c>
      <c r="M220" s="6">
        <f t="shared" si="4"/>
        <v>9000</v>
      </c>
    </row>
    <row r="221" spans="1:13" x14ac:dyDescent="0.35">
      <c r="F221" s="5"/>
      <c r="G221" s="5">
        <f t="shared" ref="G221:M221" si="5">MIN(G2:G215)</f>
        <v>0</v>
      </c>
      <c r="H221" s="5">
        <f t="shared" si="5"/>
        <v>0</v>
      </c>
      <c r="I221" s="5">
        <f t="shared" si="5"/>
        <v>0</v>
      </c>
      <c r="J221" s="5">
        <f t="shared" si="5"/>
        <v>0</v>
      </c>
      <c r="K221" s="5">
        <f t="shared" si="5"/>
        <v>28</v>
      </c>
      <c r="L221" s="5">
        <f t="shared" si="5"/>
        <v>1</v>
      </c>
      <c r="M221" s="5">
        <f t="shared" si="5"/>
        <v>600</v>
      </c>
    </row>
    <row r="224" spans="1:13" x14ac:dyDescent="0.35">
      <c r="A224" t="s">
        <v>36</v>
      </c>
      <c r="B224" s="5">
        <f>MEDIAN(F9:F214)</f>
        <v>20000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4" x14ac:dyDescent="0.35">
      <c r="A225" t="s">
        <v>37</v>
      </c>
      <c r="B225" s="5">
        <f>MEDIAN(F4:F167)</f>
        <v>20000</v>
      </c>
    </row>
    <row r="226" spans="1:4" x14ac:dyDescent="0.35">
      <c r="D226" s="5">
        <f>MEDIAN(F4:F167)</f>
        <v>20000</v>
      </c>
    </row>
  </sheetData>
  <autoFilter ref="A1:M215" xr:uid="{C5C5F732-66B4-4621-9EBD-5C13A0FE5FCE}">
    <filterColumn colId="3">
      <filters>
        <filter val="Majlis Par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1728-6FEF-4DB0-8DBE-D0A11C59C8FE}">
  <dimension ref="A1:C7"/>
  <sheetViews>
    <sheetView workbookViewId="0">
      <selection sqref="A1:C7"/>
    </sheetView>
  </sheetViews>
  <sheetFormatPr defaultRowHeight="14.5" x14ac:dyDescent="0.35"/>
  <cols>
    <col min="1" max="1" width="12.7265625" bestFit="1" customWidth="1"/>
    <col min="2" max="2" width="9" customWidth="1"/>
    <col min="3" max="3" width="27.1796875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t="s">
        <v>41</v>
      </c>
      <c r="B2" t="s">
        <v>42</v>
      </c>
      <c r="C2">
        <v>51</v>
      </c>
    </row>
    <row r="3" spans="1:3" x14ac:dyDescent="0.35">
      <c r="A3" t="s">
        <v>28</v>
      </c>
      <c r="B3" t="s">
        <v>43</v>
      </c>
      <c r="C3">
        <v>72</v>
      </c>
    </row>
    <row r="4" spans="1:3" x14ac:dyDescent="0.35">
      <c r="A4" t="s">
        <v>44</v>
      </c>
      <c r="B4" t="s">
        <v>45</v>
      </c>
      <c r="C4">
        <v>17</v>
      </c>
    </row>
    <row r="5" spans="1:3" x14ac:dyDescent="0.35">
      <c r="A5" t="s">
        <v>46</v>
      </c>
      <c r="B5" t="s">
        <v>47</v>
      </c>
      <c r="C5">
        <v>12</v>
      </c>
    </row>
    <row r="6" spans="1:3" x14ac:dyDescent="0.35">
      <c r="A6" t="s">
        <v>26</v>
      </c>
      <c r="B6" t="s">
        <v>48</v>
      </c>
      <c r="C6">
        <v>43</v>
      </c>
    </row>
    <row r="7" spans="1:3" x14ac:dyDescent="0.35">
      <c r="A7" t="s">
        <v>49</v>
      </c>
      <c r="B7" t="s">
        <v>50</v>
      </c>
      <c r="C7">
        <v>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6035-418B-40C0-A02E-F92FDAD37855}">
  <dimension ref="A1:L22"/>
  <sheetViews>
    <sheetView topLeftCell="L3" zoomScale="81" zoomScaleNormal="98" workbookViewId="0">
      <selection activeCell="AD23" sqref="AD23"/>
    </sheetView>
  </sheetViews>
  <sheetFormatPr defaultRowHeight="14.5" x14ac:dyDescent="0.35"/>
  <cols>
    <col min="1" max="1" width="14.453125" bestFit="1" customWidth="1"/>
    <col min="2" max="2" width="14.54296875" bestFit="1" customWidth="1"/>
    <col min="3" max="3" width="18.54296875" bestFit="1" customWidth="1"/>
    <col min="4" max="4" width="13.54296875" bestFit="1" customWidth="1"/>
    <col min="5" max="5" width="8.54296875" bestFit="1" customWidth="1"/>
    <col min="6" max="6" width="17.453125" style="6" bestFit="1" customWidth="1"/>
    <col min="7" max="7" width="46.26953125" style="6" bestFit="1" customWidth="1"/>
    <col min="8" max="8" width="46.1796875" style="6" bestFit="1" customWidth="1"/>
    <col min="9" max="9" width="18.1796875" bestFit="1" customWidth="1"/>
    <col min="10" max="10" width="16" bestFit="1" customWidth="1"/>
    <col min="11" max="11" width="24.81640625" bestFit="1" customWidth="1"/>
    <col min="12" max="12" width="12.7265625" bestFit="1" customWidth="1"/>
  </cols>
  <sheetData>
    <row r="1" spans="1:12" ht="17.5" customHeight="1" x14ac:dyDescent="0.35">
      <c r="F1"/>
    </row>
    <row r="2" spans="1:12" x14ac:dyDescent="0.35">
      <c r="D2" t="s">
        <v>51</v>
      </c>
      <c r="E2" t="s">
        <v>52</v>
      </c>
      <c r="F2" s="6" t="s">
        <v>53</v>
      </c>
      <c r="G2" s="6" t="s">
        <v>54</v>
      </c>
      <c r="H2" s="6" t="s">
        <v>55</v>
      </c>
      <c r="I2" t="s">
        <v>56</v>
      </c>
      <c r="J2" t="s">
        <v>57</v>
      </c>
    </row>
    <row r="3" spans="1:12" x14ac:dyDescent="0.35">
      <c r="D3" t="s">
        <v>58</v>
      </c>
      <c r="E3">
        <v>37</v>
      </c>
      <c r="F3" s="6">
        <v>1079000</v>
      </c>
      <c r="G3" s="6">
        <v>539500</v>
      </c>
      <c r="H3" s="6">
        <v>539500</v>
      </c>
      <c r="I3" s="6"/>
      <c r="J3" s="6"/>
    </row>
    <row r="4" spans="1:12" x14ac:dyDescent="0.35">
      <c r="D4" t="s">
        <v>24</v>
      </c>
      <c r="E4">
        <v>46</v>
      </c>
      <c r="F4" s="6">
        <v>74409000</v>
      </c>
      <c r="G4" s="6">
        <v>1189500</v>
      </c>
      <c r="H4" s="6">
        <v>989500</v>
      </c>
      <c r="I4" s="6"/>
      <c r="J4" s="6"/>
    </row>
    <row r="5" spans="1:12" x14ac:dyDescent="0.35">
      <c r="D5" t="s">
        <v>59</v>
      </c>
      <c r="E5">
        <v>4</v>
      </c>
      <c r="F5" s="6">
        <v>2006000</v>
      </c>
      <c r="G5" s="6">
        <v>92000</v>
      </c>
      <c r="H5" s="6">
        <v>92000</v>
      </c>
      <c r="I5" s="6"/>
      <c r="J5" s="6"/>
    </row>
    <row r="6" spans="1:12" x14ac:dyDescent="0.35">
      <c r="D6" t="s">
        <v>60</v>
      </c>
      <c r="E6">
        <v>33</v>
      </c>
      <c r="F6" s="6">
        <v>62055000</v>
      </c>
      <c r="G6" s="6">
        <v>642500</v>
      </c>
      <c r="H6" s="6">
        <v>892500</v>
      </c>
      <c r="I6" s="6"/>
      <c r="J6" s="6"/>
    </row>
    <row r="7" spans="1:12" x14ac:dyDescent="0.35">
      <c r="D7" t="s">
        <v>26</v>
      </c>
      <c r="E7">
        <v>41</v>
      </c>
      <c r="F7" s="6">
        <v>45207000</v>
      </c>
      <c r="G7" s="6">
        <v>793500</v>
      </c>
      <c r="H7" s="6">
        <v>1043500</v>
      </c>
      <c r="I7" s="6"/>
      <c r="J7" s="6"/>
    </row>
    <row r="8" spans="1:12" x14ac:dyDescent="0.35">
      <c r="D8" t="s">
        <v>61</v>
      </c>
      <c r="E8">
        <v>12</v>
      </c>
      <c r="F8" s="6">
        <v>30199000</v>
      </c>
      <c r="G8" s="6">
        <v>399500</v>
      </c>
      <c r="H8" s="6">
        <v>399500</v>
      </c>
      <c r="I8" s="6"/>
      <c r="J8" s="6"/>
    </row>
    <row r="9" spans="1:12" x14ac:dyDescent="0.35">
      <c r="D9" t="s">
        <v>62</v>
      </c>
      <c r="E9">
        <v>41</v>
      </c>
      <c r="F9" s="6">
        <v>29180000</v>
      </c>
      <c r="G9" s="6">
        <v>625000</v>
      </c>
      <c r="H9" s="6">
        <v>625000</v>
      </c>
      <c r="I9" s="6"/>
      <c r="J9" s="6"/>
    </row>
    <row r="10" spans="1:12" x14ac:dyDescent="0.35">
      <c r="I10" s="6"/>
      <c r="J10" s="6"/>
    </row>
    <row r="11" spans="1:12" x14ac:dyDescent="0.35">
      <c r="I11" s="6"/>
      <c r="J11" s="6"/>
    </row>
    <row r="13" spans="1:12" x14ac:dyDescent="0.3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s="6" t="s">
        <v>27</v>
      </c>
      <c r="G13" s="6" t="s">
        <v>68</v>
      </c>
      <c r="H13" s="6" t="s">
        <v>69</v>
      </c>
      <c r="I13" t="s">
        <v>70</v>
      </c>
      <c r="J13" t="s">
        <v>71</v>
      </c>
      <c r="K13" t="s">
        <v>72</v>
      </c>
      <c r="L13" t="s">
        <v>73</v>
      </c>
    </row>
    <row r="14" spans="1:12" x14ac:dyDescent="0.35">
      <c r="A14">
        <v>0</v>
      </c>
      <c r="B14">
        <v>33</v>
      </c>
      <c r="C14">
        <v>4</v>
      </c>
      <c r="D14" t="s">
        <v>28</v>
      </c>
      <c r="E14">
        <v>0</v>
      </c>
      <c r="F14">
        <v>38</v>
      </c>
      <c r="G14" s="6">
        <v>0</v>
      </c>
      <c r="H14" s="6">
        <f t="shared" ref="H14" si="0">539500+539500</f>
        <v>1079000</v>
      </c>
      <c r="I14" s="6">
        <v>39400</v>
      </c>
      <c r="J14" s="6">
        <v>1079000</v>
      </c>
      <c r="K14" s="6">
        <f>Table12[[#This Row],[commission earned from rent ]]+Table12[[#This Row],[commission earned from sale ]]</f>
        <v>1079000</v>
      </c>
      <c r="L14" s="4">
        <f>Table12[[#This Row],[Total commission earned ]]-Table12[[#This Row],[expenses incured ]]</f>
        <v>1039600</v>
      </c>
    </row>
    <row r="15" spans="1:12" x14ac:dyDescent="0.35">
      <c r="A15">
        <v>1</v>
      </c>
      <c r="B15">
        <v>11</v>
      </c>
      <c r="C15">
        <v>36</v>
      </c>
      <c r="D15" t="s">
        <v>24</v>
      </c>
      <c r="E15">
        <v>6</v>
      </c>
      <c r="F15">
        <v>42</v>
      </c>
      <c r="G15" s="6">
        <f>735000+535000</f>
        <v>1270000</v>
      </c>
      <c r="H15" s="6">
        <f>454500+454500</f>
        <v>909000</v>
      </c>
      <c r="I15" s="6">
        <v>52800</v>
      </c>
      <c r="J15" s="6">
        <v>74409000</v>
      </c>
      <c r="K15" s="6">
        <f>Table12[[#This Row],[commission earned from rent ]]+Table12[[#This Row],[commission earned from sale ]]</f>
        <v>2179000</v>
      </c>
      <c r="L15">
        <f>Table12[[#This Row],[Total commission earned ]]-Table12[[#This Row],[expenses incured ]]</f>
        <v>2126200</v>
      </c>
    </row>
    <row r="16" spans="1:12" x14ac:dyDescent="0.35">
      <c r="A16">
        <v>0</v>
      </c>
      <c r="B16">
        <v>2</v>
      </c>
      <c r="C16">
        <v>2</v>
      </c>
      <c r="D16" t="s">
        <v>29</v>
      </c>
      <c r="E16">
        <v>2</v>
      </c>
      <c r="F16">
        <v>2</v>
      </c>
      <c r="G16" s="6">
        <f>80000+80000</f>
        <v>160000</v>
      </c>
      <c r="H16" s="6">
        <v>24000</v>
      </c>
      <c r="I16" s="6">
        <v>4800</v>
      </c>
      <c r="J16" s="6">
        <v>8024000</v>
      </c>
      <c r="K16" s="6">
        <f>Table12[[#This Row],[commission earned from rent ]]+Table12[[#This Row],[commission earned from sale ]]</f>
        <v>184000</v>
      </c>
      <c r="L16" s="6">
        <f>Table12[[#This Row],[Total commission earned ]]-Table12[[#This Row],[expenses incured ]]</f>
        <v>179200</v>
      </c>
    </row>
    <row r="17" spans="1:12" x14ac:dyDescent="0.35">
      <c r="A17">
        <v>2</v>
      </c>
      <c r="B17">
        <v>5</v>
      </c>
      <c r="C17">
        <v>26</v>
      </c>
      <c r="D17" t="s">
        <v>20</v>
      </c>
      <c r="E17">
        <v>4</v>
      </c>
      <c r="F17">
        <v>29</v>
      </c>
      <c r="G17" s="6">
        <f>365000+615000</f>
        <v>980000</v>
      </c>
      <c r="H17" s="6">
        <f>277500+277500</f>
        <v>555000</v>
      </c>
      <c r="I17" s="6">
        <v>33400</v>
      </c>
      <c r="J17" s="6">
        <v>62055000</v>
      </c>
      <c r="K17" s="6">
        <f>Table12[[#This Row],[commission earned from rent ]]+Table12[[#This Row],[commission earned from sale ]]</f>
        <v>1535000</v>
      </c>
      <c r="L17">
        <f>Table12[[#This Row],[Total commission earned ]]-Table12[[#This Row],[expenses incured ]]</f>
        <v>1501600</v>
      </c>
    </row>
    <row r="18" spans="1:12" x14ac:dyDescent="0.35">
      <c r="A18">
        <v>0</v>
      </c>
      <c r="B18">
        <v>30</v>
      </c>
      <c r="C18">
        <v>11</v>
      </c>
      <c r="D18" t="s">
        <v>74</v>
      </c>
      <c r="E18">
        <v>3</v>
      </c>
      <c r="F18">
        <v>38</v>
      </c>
      <c r="G18" s="6">
        <f>190000+440000</f>
        <v>630000</v>
      </c>
      <c r="H18" s="6">
        <f>603500+603500</f>
        <v>1207000</v>
      </c>
      <c r="I18" s="6">
        <v>49000</v>
      </c>
      <c r="J18" s="6">
        <v>45207000</v>
      </c>
      <c r="K18" s="6">
        <f>Table12[[#This Row],[commission earned from rent ]]+Table12[[#This Row],[commission earned from sale ]]</f>
        <v>1837000</v>
      </c>
      <c r="L18">
        <f>Table12[[#This Row],[Total commission earned ]]-Table12[[#This Row],[expenses incured ]]</f>
        <v>1788000</v>
      </c>
    </row>
    <row r="19" spans="1:12" x14ac:dyDescent="0.35">
      <c r="A19">
        <v>0</v>
      </c>
      <c r="B19">
        <v>0</v>
      </c>
      <c r="C19">
        <v>11</v>
      </c>
      <c r="D19" t="s">
        <v>49</v>
      </c>
      <c r="E19">
        <v>1</v>
      </c>
      <c r="F19">
        <v>10</v>
      </c>
      <c r="G19" s="6">
        <v>600000</v>
      </c>
      <c r="H19" s="6">
        <f>99500+99500</f>
        <v>199000</v>
      </c>
      <c r="I19" s="6">
        <v>12700</v>
      </c>
      <c r="J19" s="6">
        <v>30199000</v>
      </c>
      <c r="K19" s="6">
        <f>Table12[[#This Row],[commission earned from rent ]]+Table12[[#This Row],[commission earned from sale ]]</f>
        <v>799000</v>
      </c>
      <c r="L19" s="6">
        <f>Table12[[#This Row],[Total commission earned ]]-Table12[[#This Row],[expenses incured ]]</f>
        <v>786300</v>
      </c>
    </row>
    <row r="20" spans="1:12" x14ac:dyDescent="0.35">
      <c r="A20">
        <v>0</v>
      </c>
      <c r="B20">
        <v>7</v>
      </c>
      <c r="C20">
        <v>34</v>
      </c>
      <c r="D20" t="s">
        <v>62</v>
      </c>
      <c r="E20">
        <v>3</v>
      </c>
      <c r="F20">
        <v>38</v>
      </c>
      <c r="G20" s="6">
        <f>285000+285000</f>
        <v>570000</v>
      </c>
      <c r="H20" s="6">
        <f>340000+340000</f>
        <v>680000</v>
      </c>
      <c r="I20" s="6">
        <v>50600</v>
      </c>
      <c r="J20" s="6">
        <v>29180000</v>
      </c>
      <c r="K20" s="6">
        <f>Table12[[#This Row],[commission earned from rent ]]+Table12[[#This Row],[commission earned from sale ]]</f>
        <v>1250000</v>
      </c>
      <c r="L20">
        <f>Table12[[#This Row],[Total commission earned ]]-Table12[[#This Row],[expenses incured ]]</f>
        <v>1199400</v>
      </c>
    </row>
    <row r="21" spans="1:12" x14ac:dyDescent="0.35">
      <c r="K21" s="6"/>
      <c r="L21" s="6"/>
    </row>
    <row r="22" spans="1:12" x14ac:dyDescent="0.35">
      <c r="K22" s="6"/>
      <c r="L22" s="6"/>
    </row>
  </sheetData>
  <phoneticPr fontId="2" type="noConversion"/>
  <pageMargins left="0.7" right="0.7" top="0.75" bottom="0.75" header="0.3" footer="0.3"/>
  <ignoredErrors>
    <ignoredError sqref="G14:G20 H15:H20" calculatedColumn="1"/>
  </ignoredErrors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A96-CD9B-40B3-B3D9-D75EAEB500ED}">
  <dimension ref="J1:V9"/>
  <sheetViews>
    <sheetView tabSelected="1" topLeftCell="N1" workbookViewId="0">
      <selection activeCell="S1" sqref="S1:V8"/>
    </sheetView>
  </sheetViews>
  <sheetFormatPr defaultRowHeight="14.5" x14ac:dyDescent="0.35"/>
  <cols>
    <col min="10" max="10" width="13.54296875" bestFit="1" customWidth="1"/>
    <col min="11" max="11" width="26.1796875" bestFit="1" customWidth="1"/>
    <col min="12" max="12" width="26.453125" bestFit="1" customWidth="1"/>
    <col min="14" max="14" width="15.453125" bestFit="1" customWidth="1"/>
    <col min="15" max="15" width="12.1796875" bestFit="1" customWidth="1"/>
    <col min="16" max="17" width="10.26953125" customWidth="1"/>
  </cols>
  <sheetData>
    <row r="1" spans="10:22" x14ac:dyDescent="0.35">
      <c r="J1" t="s">
        <v>75</v>
      </c>
      <c r="K1" t="s">
        <v>68</v>
      </c>
      <c r="L1" t="s">
        <v>69</v>
      </c>
      <c r="N1" t="s">
        <v>56</v>
      </c>
      <c r="O1" s="10" t="s">
        <v>119</v>
      </c>
      <c r="P1" s="10" t="s">
        <v>120</v>
      </c>
      <c r="Q1" s="7" t="s">
        <v>121</v>
      </c>
      <c r="S1" s="8" t="s">
        <v>51</v>
      </c>
      <c r="T1" s="10" t="s">
        <v>122</v>
      </c>
      <c r="U1" s="10" t="s">
        <v>123</v>
      </c>
      <c r="V1" s="10" t="s">
        <v>124</v>
      </c>
    </row>
    <row r="2" spans="10:22" x14ac:dyDescent="0.35">
      <c r="J2" t="s">
        <v>28</v>
      </c>
      <c r="K2">
        <v>0</v>
      </c>
      <c r="L2">
        <v>1079000</v>
      </c>
      <c r="N2" t="s">
        <v>51</v>
      </c>
      <c r="O2" s="10" t="s">
        <v>122</v>
      </c>
      <c r="P2" s="10" t="s">
        <v>123</v>
      </c>
      <c r="Q2" s="7" t="s">
        <v>124</v>
      </c>
      <c r="S2" s="9" t="s">
        <v>58</v>
      </c>
      <c r="T2" s="11">
        <v>33</v>
      </c>
      <c r="U2" s="11">
        <v>4</v>
      </c>
      <c r="V2" s="11">
        <v>0</v>
      </c>
    </row>
    <row r="3" spans="10:22" x14ac:dyDescent="0.35">
      <c r="J3" t="s">
        <v>24</v>
      </c>
      <c r="K3">
        <v>1270000</v>
      </c>
      <c r="L3">
        <v>909000</v>
      </c>
      <c r="N3" t="s">
        <v>58</v>
      </c>
      <c r="O3" s="11">
        <v>33</v>
      </c>
      <c r="P3" s="11">
        <v>4</v>
      </c>
      <c r="Q3" s="8">
        <v>0</v>
      </c>
      <c r="S3" s="8" t="s">
        <v>24</v>
      </c>
      <c r="T3" s="11">
        <v>11</v>
      </c>
      <c r="U3" s="11">
        <v>36</v>
      </c>
      <c r="V3" s="11">
        <v>1</v>
      </c>
    </row>
    <row r="4" spans="10:22" x14ac:dyDescent="0.35">
      <c r="J4" t="s">
        <v>29</v>
      </c>
      <c r="K4">
        <v>160000</v>
      </c>
      <c r="L4">
        <v>24000</v>
      </c>
      <c r="N4" t="s">
        <v>24</v>
      </c>
      <c r="O4" s="12">
        <v>11</v>
      </c>
      <c r="P4" s="12">
        <v>36</v>
      </c>
      <c r="Q4" s="9">
        <v>1</v>
      </c>
      <c r="S4" s="9" t="s">
        <v>59</v>
      </c>
      <c r="T4" s="11">
        <v>2</v>
      </c>
      <c r="U4" s="11">
        <v>2</v>
      </c>
      <c r="V4" s="11">
        <v>0</v>
      </c>
    </row>
    <row r="5" spans="10:22" x14ac:dyDescent="0.35">
      <c r="J5" t="s">
        <v>20</v>
      </c>
      <c r="K5">
        <v>980000</v>
      </c>
      <c r="L5">
        <v>555000</v>
      </c>
      <c r="N5" t="s">
        <v>59</v>
      </c>
      <c r="O5" s="11">
        <v>2</v>
      </c>
      <c r="P5" s="11">
        <v>2</v>
      </c>
      <c r="Q5" s="8">
        <v>0</v>
      </c>
      <c r="S5" s="8" t="s">
        <v>60</v>
      </c>
      <c r="T5" s="11">
        <v>5</v>
      </c>
      <c r="U5" s="11">
        <v>26</v>
      </c>
      <c r="V5" s="11">
        <v>2</v>
      </c>
    </row>
    <row r="6" spans="10:22" x14ac:dyDescent="0.35">
      <c r="J6" t="s">
        <v>74</v>
      </c>
      <c r="K6">
        <v>630000</v>
      </c>
      <c r="L6">
        <v>1207000</v>
      </c>
      <c r="N6" t="s">
        <v>60</v>
      </c>
      <c r="O6" s="12">
        <v>5</v>
      </c>
      <c r="P6" s="12">
        <v>26</v>
      </c>
      <c r="Q6" s="9">
        <v>2</v>
      </c>
      <c r="S6" s="9" t="s">
        <v>26</v>
      </c>
      <c r="T6" s="11">
        <v>30</v>
      </c>
      <c r="U6" s="11">
        <v>11</v>
      </c>
      <c r="V6" s="11">
        <v>0</v>
      </c>
    </row>
    <row r="7" spans="10:22" x14ac:dyDescent="0.35">
      <c r="J7" t="s">
        <v>49</v>
      </c>
      <c r="K7">
        <v>600000</v>
      </c>
      <c r="L7">
        <v>199000</v>
      </c>
      <c r="N7" t="s">
        <v>26</v>
      </c>
      <c r="O7" s="11">
        <v>30</v>
      </c>
      <c r="P7" s="11">
        <v>11</v>
      </c>
      <c r="Q7" s="8">
        <v>0</v>
      </c>
      <c r="S7" s="8" t="s">
        <v>61</v>
      </c>
      <c r="T7" s="11">
        <v>0</v>
      </c>
      <c r="U7" s="11">
        <v>11</v>
      </c>
      <c r="V7" s="11">
        <v>0</v>
      </c>
    </row>
    <row r="8" spans="10:22" x14ac:dyDescent="0.35">
      <c r="J8" t="s">
        <v>62</v>
      </c>
      <c r="K8">
        <v>570000</v>
      </c>
      <c r="L8">
        <v>680000</v>
      </c>
      <c r="N8" t="s">
        <v>61</v>
      </c>
      <c r="O8" s="12">
        <v>0</v>
      </c>
      <c r="P8" s="12">
        <v>11</v>
      </c>
      <c r="Q8" s="9">
        <v>0</v>
      </c>
      <c r="S8" s="9" t="s">
        <v>62</v>
      </c>
      <c r="T8" s="11">
        <v>7</v>
      </c>
      <c r="U8" s="11">
        <v>34</v>
      </c>
      <c r="V8" s="11">
        <v>0</v>
      </c>
    </row>
    <row r="9" spans="10:22" x14ac:dyDescent="0.35">
      <c r="N9" t="s">
        <v>62</v>
      </c>
      <c r="O9" s="11">
        <v>7</v>
      </c>
      <c r="P9" s="11">
        <v>34</v>
      </c>
      <c r="Q9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EB19-7574-45CD-BC0B-A2C3124B7E30}">
  <dimension ref="A1:E6"/>
  <sheetViews>
    <sheetView workbookViewId="0">
      <selection activeCell="C6" sqref="C6"/>
    </sheetView>
  </sheetViews>
  <sheetFormatPr defaultRowHeight="14.5" x14ac:dyDescent="0.35"/>
  <cols>
    <col min="1" max="1" width="25.54296875" customWidth="1"/>
    <col min="2" max="2" width="15.26953125" style="6" bestFit="1" customWidth="1"/>
    <col min="3" max="3" width="39.1796875" style="6" bestFit="1" customWidth="1"/>
    <col min="4" max="4" width="34.453125" style="6" bestFit="1" customWidth="1"/>
    <col min="5" max="5" width="34.1796875" bestFit="1" customWidth="1"/>
  </cols>
  <sheetData>
    <row r="1" spans="1:5" x14ac:dyDescent="0.35">
      <c r="A1" t="s">
        <v>76</v>
      </c>
      <c r="B1" s="6" t="s">
        <v>77</v>
      </c>
      <c r="C1" s="6" t="s">
        <v>78</v>
      </c>
      <c r="D1" s="6" t="s">
        <v>79</v>
      </c>
      <c r="E1" t="s">
        <v>80</v>
      </c>
    </row>
    <row r="2" spans="1:5" x14ac:dyDescent="0.35">
      <c r="A2" t="s">
        <v>81</v>
      </c>
      <c r="B2" s="6">
        <v>245500000</v>
      </c>
      <c r="C2" s="6">
        <v>1955000</v>
      </c>
      <c r="D2" s="6">
        <v>2255000</v>
      </c>
      <c r="E2">
        <v>197</v>
      </c>
    </row>
    <row r="3" spans="1:5" x14ac:dyDescent="0.35">
      <c r="A3" t="s">
        <v>82</v>
      </c>
      <c r="B3" s="6">
        <v>4653000</v>
      </c>
      <c r="C3" s="6">
        <v>2326500</v>
      </c>
      <c r="D3" s="6">
        <v>2326500</v>
      </c>
      <c r="E3">
        <v>19</v>
      </c>
    </row>
    <row r="6" spans="1:5" ht="20.5" customHeight="1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2AB0-A043-4BB8-ABAF-E2D78F211F19}">
  <dimension ref="A1:D220"/>
  <sheetViews>
    <sheetView workbookViewId="0">
      <selection sqref="A1:B1048576"/>
    </sheetView>
  </sheetViews>
  <sheetFormatPr defaultRowHeight="14.5" x14ac:dyDescent="0.35"/>
  <cols>
    <col min="1" max="1" width="22.453125" customWidth="1"/>
    <col min="2" max="2" width="22.54296875" bestFit="1" customWidth="1"/>
    <col min="3" max="3" width="27.26953125" bestFit="1" customWidth="1"/>
    <col min="4" max="4" width="27.54296875" bestFit="1" customWidth="1"/>
  </cols>
  <sheetData>
    <row r="1" spans="1:4" x14ac:dyDescent="0.35">
      <c r="A1" s="1" t="s">
        <v>83</v>
      </c>
      <c r="B1" s="1" t="s">
        <v>5</v>
      </c>
      <c r="C1" s="1" t="s">
        <v>7</v>
      </c>
      <c r="D1" s="1" t="s">
        <v>8</v>
      </c>
    </row>
    <row r="2" spans="1:4" x14ac:dyDescent="0.35">
      <c r="A2" s="5">
        <f t="shared" ref="A2:A65" si="0">C2+D2</f>
        <v>200000</v>
      </c>
      <c r="B2" s="3">
        <v>10000000</v>
      </c>
      <c r="C2" s="3">
        <v>100000</v>
      </c>
      <c r="D2" s="3">
        <v>100000</v>
      </c>
    </row>
    <row r="3" spans="1:4" x14ac:dyDescent="0.35">
      <c r="A3" s="5">
        <f t="shared" si="0"/>
        <v>70000</v>
      </c>
      <c r="B3" s="3">
        <v>3500000</v>
      </c>
      <c r="C3" s="3">
        <v>35000</v>
      </c>
      <c r="D3" s="3">
        <v>35000</v>
      </c>
    </row>
    <row r="4" spans="1:4" x14ac:dyDescent="0.35">
      <c r="A4" s="5">
        <f t="shared" si="0"/>
        <v>200000</v>
      </c>
      <c r="B4" s="3">
        <v>20000000</v>
      </c>
      <c r="C4" s="3">
        <v>200000</v>
      </c>
      <c r="D4" s="3">
        <v>0</v>
      </c>
    </row>
    <row r="5" spans="1:4" x14ac:dyDescent="0.35">
      <c r="A5" s="5">
        <f t="shared" si="0"/>
        <v>300000</v>
      </c>
      <c r="B5" s="3">
        <v>15000000</v>
      </c>
      <c r="C5" s="3">
        <v>150000</v>
      </c>
      <c r="D5" s="3">
        <v>150000</v>
      </c>
    </row>
    <row r="6" spans="1:4" x14ac:dyDescent="0.35">
      <c r="A6" s="5">
        <f t="shared" si="0"/>
        <v>15000</v>
      </c>
      <c r="B6" s="3">
        <v>15000</v>
      </c>
      <c r="C6" s="3">
        <v>7500</v>
      </c>
      <c r="D6" s="3">
        <v>7500</v>
      </c>
    </row>
    <row r="7" spans="1:4" x14ac:dyDescent="0.35">
      <c r="A7" s="5">
        <f t="shared" si="0"/>
        <v>30000</v>
      </c>
      <c r="B7" s="3">
        <v>30000</v>
      </c>
      <c r="C7" s="3">
        <v>15000</v>
      </c>
      <c r="D7" s="3">
        <v>15000</v>
      </c>
    </row>
    <row r="8" spans="1:4" x14ac:dyDescent="0.35">
      <c r="A8" s="5">
        <f t="shared" si="0"/>
        <v>18000</v>
      </c>
      <c r="B8" s="3">
        <v>18000</v>
      </c>
      <c r="C8" s="3">
        <v>9000</v>
      </c>
      <c r="D8" s="3">
        <v>9000</v>
      </c>
    </row>
    <row r="9" spans="1:4" x14ac:dyDescent="0.35">
      <c r="A9" s="5">
        <f t="shared" si="0"/>
        <v>40000</v>
      </c>
      <c r="B9" s="3">
        <v>40000</v>
      </c>
      <c r="C9" s="3">
        <v>20000</v>
      </c>
      <c r="D9" s="3">
        <v>20000</v>
      </c>
    </row>
    <row r="10" spans="1:4" x14ac:dyDescent="0.35">
      <c r="A10" s="5">
        <f t="shared" si="0"/>
        <v>16000</v>
      </c>
      <c r="B10" s="3">
        <v>16000</v>
      </c>
      <c r="C10" s="3">
        <v>8000</v>
      </c>
      <c r="D10" s="3">
        <v>8000</v>
      </c>
    </row>
    <row r="11" spans="1:4" x14ac:dyDescent="0.35">
      <c r="A11" s="5">
        <f t="shared" si="0"/>
        <v>12000</v>
      </c>
      <c r="B11" s="3">
        <v>12000</v>
      </c>
      <c r="C11" s="3">
        <v>6000</v>
      </c>
      <c r="D11" s="3">
        <v>6000</v>
      </c>
    </row>
    <row r="12" spans="1:4" x14ac:dyDescent="0.35">
      <c r="A12" s="5">
        <f t="shared" si="0"/>
        <v>35000</v>
      </c>
      <c r="B12" s="3">
        <v>35000</v>
      </c>
      <c r="C12" s="3">
        <v>17500</v>
      </c>
      <c r="D12" s="3">
        <v>17500</v>
      </c>
    </row>
    <row r="13" spans="1:4" x14ac:dyDescent="0.35">
      <c r="A13" s="5">
        <f t="shared" si="0"/>
        <v>14000</v>
      </c>
      <c r="B13" s="3">
        <v>14000</v>
      </c>
      <c r="C13" s="3">
        <v>7000</v>
      </c>
      <c r="D13" s="3">
        <v>7000</v>
      </c>
    </row>
    <row r="14" spans="1:4" x14ac:dyDescent="0.35">
      <c r="A14" s="5">
        <f t="shared" si="0"/>
        <v>32000</v>
      </c>
      <c r="B14" s="3">
        <v>32000</v>
      </c>
      <c r="C14" s="3">
        <v>16000</v>
      </c>
      <c r="D14" s="3">
        <v>16000</v>
      </c>
    </row>
    <row r="15" spans="1:4" x14ac:dyDescent="0.35">
      <c r="A15" s="5">
        <f t="shared" si="0"/>
        <v>20000</v>
      </c>
      <c r="B15" s="3">
        <v>20000</v>
      </c>
      <c r="C15" s="3">
        <v>10000</v>
      </c>
      <c r="D15" s="3">
        <v>10000</v>
      </c>
    </row>
    <row r="16" spans="1:4" x14ac:dyDescent="0.35">
      <c r="A16" s="5">
        <f t="shared" si="0"/>
        <v>17000</v>
      </c>
      <c r="B16" s="3">
        <v>17000</v>
      </c>
      <c r="C16" s="3">
        <v>8500</v>
      </c>
      <c r="D16" s="3">
        <v>8500</v>
      </c>
    </row>
    <row r="17" spans="1:4" x14ac:dyDescent="0.35">
      <c r="A17" s="5">
        <f t="shared" si="0"/>
        <v>38000</v>
      </c>
      <c r="B17" s="3">
        <v>38000</v>
      </c>
      <c r="C17" s="3">
        <v>19000</v>
      </c>
      <c r="D17" s="3">
        <v>19000</v>
      </c>
    </row>
    <row r="18" spans="1:4" x14ac:dyDescent="0.35">
      <c r="A18" s="5">
        <f t="shared" si="0"/>
        <v>15000</v>
      </c>
      <c r="B18" s="3">
        <v>15000</v>
      </c>
      <c r="C18" s="3">
        <v>7500</v>
      </c>
      <c r="D18" s="3">
        <v>7500</v>
      </c>
    </row>
    <row r="19" spans="1:4" x14ac:dyDescent="0.35">
      <c r="A19" s="5">
        <f t="shared" si="0"/>
        <v>30000</v>
      </c>
      <c r="B19" s="3">
        <v>30000</v>
      </c>
      <c r="C19" s="3">
        <v>15000</v>
      </c>
      <c r="D19" s="3">
        <v>15000</v>
      </c>
    </row>
    <row r="20" spans="1:4" x14ac:dyDescent="0.35">
      <c r="A20" s="5">
        <f t="shared" si="0"/>
        <v>16000</v>
      </c>
      <c r="B20" s="3">
        <v>16000</v>
      </c>
      <c r="C20" s="3">
        <v>8000</v>
      </c>
      <c r="D20" s="3">
        <v>8000</v>
      </c>
    </row>
    <row r="21" spans="1:4" x14ac:dyDescent="0.35">
      <c r="A21" s="5">
        <f t="shared" si="0"/>
        <v>20000</v>
      </c>
      <c r="B21" s="3">
        <v>20000</v>
      </c>
      <c r="C21" s="3">
        <v>10000</v>
      </c>
      <c r="D21" s="3">
        <v>10000</v>
      </c>
    </row>
    <row r="22" spans="1:4" x14ac:dyDescent="0.35">
      <c r="A22" s="5">
        <f t="shared" si="0"/>
        <v>35000</v>
      </c>
      <c r="B22" s="3">
        <v>35000</v>
      </c>
      <c r="C22" s="3">
        <v>17500</v>
      </c>
      <c r="D22" s="3">
        <v>17500</v>
      </c>
    </row>
    <row r="23" spans="1:4" x14ac:dyDescent="0.35">
      <c r="A23" s="5">
        <f t="shared" si="0"/>
        <v>15000</v>
      </c>
      <c r="B23" s="3">
        <v>15000</v>
      </c>
      <c r="C23" s="3">
        <v>7500</v>
      </c>
      <c r="D23" s="3">
        <v>7500</v>
      </c>
    </row>
    <row r="24" spans="1:4" x14ac:dyDescent="0.35">
      <c r="A24" s="5">
        <f t="shared" si="0"/>
        <v>32000</v>
      </c>
      <c r="B24" s="3">
        <v>32000</v>
      </c>
      <c r="C24" s="3">
        <v>16000</v>
      </c>
      <c r="D24" s="3">
        <v>16000</v>
      </c>
    </row>
    <row r="25" spans="1:4" x14ac:dyDescent="0.35">
      <c r="A25" s="5">
        <f t="shared" si="0"/>
        <v>18000</v>
      </c>
      <c r="B25" s="3">
        <v>18000</v>
      </c>
      <c r="C25" s="3">
        <v>9000</v>
      </c>
      <c r="D25" s="3">
        <v>9000</v>
      </c>
    </row>
    <row r="26" spans="1:4" x14ac:dyDescent="0.35">
      <c r="A26" s="5">
        <f t="shared" si="0"/>
        <v>20000</v>
      </c>
      <c r="B26" s="3">
        <v>20000</v>
      </c>
      <c r="C26" s="3">
        <v>10000</v>
      </c>
      <c r="D26" s="3">
        <v>10000</v>
      </c>
    </row>
    <row r="27" spans="1:4" x14ac:dyDescent="0.35">
      <c r="A27" s="5">
        <f t="shared" si="0"/>
        <v>40000</v>
      </c>
      <c r="B27" s="3">
        <v>40000</v>
      </c>
      <c r="C27" s="3">
        <v>20000</v>
      </c>
      <c r="D27" s="3">
        <v>20000</v>
      </c>
    </row>
    <row r="28" spans="1:4" x14ac:dyDescent="0.35">
      <c r="A28" s="5">
        <f t="shared" si="0"/>
        <v>16000</v>
      </c>
      <c r="B28" s="3">
        <v>16000</v>
      </c>
      <c r="C28" s="3">
        <v>8000</v>
      </c>
      <c r="D28" s="3">
        <v>8000</v>
      </c>
    </row>
    <row r="29" spans="1:4" x14ac:dyDescent="0.35">
      <c r="A29" s="5">
        <f t="shared" si="0"/>
        <v>30000</v>
      </c>
      <c r="B29" s="3">
        <v>30000</v>
      </c>
      <c r="C29" s="3">
        <v>15000</v>
      </c>
      <c r="D29" s="3">
        <v>15000</v>
      </c>
    </row>
    <row r="30" spans="1:4" x14ac:dyDescent="0.35">
      <c r="A30" s="5">
        <f t="shared" si="0"/>
        <v>20000</v>
      </c>
      <c r="B30" s="3">
        <v>20000</v>
      </c>
      <c r="C30" s="3">
        <v>10000</v>
      </c>
      <c r="D30" s="3">
        <v>10000</v>
      </c>
    </row>
    <row r="31" spans="1:4" x14ac:dyDescent="0.35">
      <c r="A31" s="5">
        <f t="shared" si="0"/>
        <v>35000</v>
      </c>
      <c r="B31" s="3">
        <v>35000</v>
      </c>
      <c r="C31" s="3">
        <v>17500</v>
      </c>
      <c r="D31" s="3">
        <v>17500</v>
      </c>
    </row>
    <row r="32" spans="1:4" x14ac:dyDescent="0.35">
      <c r="A32" s="5">
        <f t="shared" si="0"/>
        <v>18000</v>
      </c>
      <c r="B32" s="3">
        <v>18000</v>
      </c>
      <c r="C32" s="3">
        <v>9000</v>
      </c>
      <c r="D32" s="3">
        <v>9000</v>
      </c>
    </row>
    <row r="33" spans="1:4" x14ac:dyDescent="0.35">
      <c r="A33" s="5">
        <f t="shared" si="0"/>
        <v>15000</v>
      </c>
      <c r="B33" s="3">
        <v>15000</v>
      </c>
      <c r="C33" s="3">
        <v>7500</v>
      </c>
      <c r="D33" s="3">
        <v>7500</v>
      </c>
    </row>
    <row r="34" spans="1:4" x14ac:dyDescent="0.35">
      <c r="A34" s="5">
        <f t="shared" si="0"/>
        <v>30000</v>
      </c>
      <c r="B34" s="3">
        <v>30000</v>
      </c>
      <c r="C34" s="3">
        <v>15000</v>
      </c>
      <c r="D34" s="3">
        <v>15000</v>
      </c>
    </row>
    <row r="35" spans="1:4" x14ac:dyDescent="0.35">
      <c r="A35" s="5">
        <f t="shared" si="0"/>
        <v>20000</v>
      </c>
      <c r="B35" s="3">
        <v>20000</v>
      </c>
      <c r="C35" s="3">
        <v>10000</v>
      </c>
      <c r="D35" s="3">
        <v>10000</v>
      </c>
    </row>
    <row r="36" spans="1:4" x14ac:dyDescent="0.35">
      <c r="A36" s="5">
        <f t="shared" si="0"/>
        <v>18000</v>
      </c>
      <c r="B36" s="3">
        <v>18000</v>
      </c>
      <c r="C36" s="3">
        <v>9000</v>
      </c>
      <c r="D36" s="3">
        <v>9000</v>
      </c>
    </row>
    <row r="37" spans="1:4" x14ac:dyDescent="0.35">
      <c r="A37" s="5">
        <f t="shared" si="0"/>
        <v>35000</v>
      </c>
      <c r="B37" s="3">
        <v>35000</v>
      </c>
      <c r="C37" s="3">
        <v>17500</v>
      </c>
      <c r="D37" s="3">
        <v>17500</v>
      </c>
    </row>
    <row r="38" spans="1:4" x14ac:dyDescent="0.35">
      <c r="A38" s="5">
        <f t="shared" si="0"/>
        <v>20000</v>
      </c>
      <c r="B38" s="3">
        <v>20000</v>
      </c>
      <c r="C38" s="3">
        <v>10000</v>
      </c>
      <c r="D38" s="3">
        <v>10000</v>
      </c>
    </row>
    <row r="39" spans="1:4" x14ac:dyDescent="0.35">
      <c r="A39" s="5">
        <f t="shared" si="0"/>
        <v>30000</v>
      </c>
      <c r="B39" s="3">
        <v>30000</v>
      </c>
      <c r="C39" s="3">
        <v>15000</v>
      </c>
      <c r="D39" s="3">
        <v>15000</v>
      </c>
    </row>
    <row r="40" spans="1:4" x14ac:dyDescent="0.35">
      <c r="A40" s="5">
        <f t="shared" si="0"/>
        <v>18000</v>
      </c>
      <c r="B40" s="3">
        <v>18000</v>
      </c>
      <c r="C40" s="3">
        <v>9000</v>
      </c>
      <c r="D40" s="3">
        <v>9000</v>
      </c>
    </row>
    <row r="41" spans="1:4" x14ac:dyDescent="0.35">
      <c r="A41" s="5">
        <f t="shared" si="0"/>
        <v>40000</v>
      </c>
      <c r="B41" s="3">
        <v>40000</v>
      </c>
      <c r="C41" s="3">
        <v>20000</v>
      </c>
      <c r="D41" s="3">
        <v>20000</v>
      </c>
    </row>
    <row r="42" spans="1:4" x14ac:dyDescent="0.35">
      <c r="A42" s="5">
        <f t="shared" si="0"/>
        <v>16000</v>
      </c>
      <c r="B42" s="3">
        <v>16000</v>
      </c>
      <c r="C42" s="3">
        <v>8000</v>
      </c>
      <c r="D42" s="3">
        <v>8000</v>
      </c>
    </row>
    <row r="43" spans="1:4" x14ac:dyDescent="0.35">
      <c r="A43" s="5">
        <f t="shared" si="0"/>
        <v>32000</v>
      </c>
      <c r="B43" s="3">
        <v>32000</v>
      </c>
      <c r="C43" s="3">
        <v>16000</v>
      </c>
      <c r="D43" s="3">
        <v>16000</v>
      </c>
    </row>
    <row r="44" spans="1:4" x14ac:dyDescent="0.35">
      <c r="A44" s="5">
        <f t="shared" si="0"/>
        <v>20000</v>
      </c>
      <c r="B44" s="3">
        <v>20000</v>
      </c>
      <c r="C44" s="3">
        <v>10000</v>
      </c>
      <c r="D44" s="3">
        <v>10000</v>
      </c>
    </row>
    <row r="45" spans="1:4" x14ac:dyDescent="0.35">
      <c r="A45" s="5">
        <f t="shared" si="0"/>
        <v>35000</v>
      </c>
      <c r="B45" s="3">
        <v>35000</v>
      </c>
      <c r="C45" s="3">
        <v>17500</v>
      </c>
      <c r="D45" s="3">
        <v>17500</v>
      </c>
    </row>
    <row r="46" spans="1:4" x14ac:dyDescent="0.35">
      <c r="A46" s="5">
        <f t="shared" si="0"/>
        <v>15000</v>
      </c>
      <c r="B46" s="3">
        <v>15000</v>
      </c>
      <c r="C46" s="3">
        <v>7500</v>
      </c>
      <c r="D46" s="3">
        <v>7500</v>
      </c>
    </row>
    <row r="47" spans="1:4" x14ac:dyDescent="0.35">
      <c r="A47" s="5">
        <f t="shared" si="0"/>
        <v>30000</v>
      </c>
      <c r="B47" s="3">
        <v>30000</v>
      </c>
      <c r="C47" s="3">
        <v>15000</v>
      </c>
      <c r="D47" s="3">
        <v>15000</v>
      </c>
    </row>
    <row r="48" spans="1:4" x14ac:dyDescent="0.35">
      <c r="A48" s="5">
        <f t="shared" si="0"/>
        <v>16000</v>
      </c>
      <c r="B48" s="3">
        <v>16000</v>
      </c>
      <c r="C48" s="3">
        <v>8000</v>
      </c>
      <c r="D48" s="3">
        <v>8000</v>
      </c>
    </row>
    <row r="49" spans="1:4" x14ac:dyDescent="0.35">
      <c r="A49" s="5">
        <f t="shared" si="0"/>
        <v>30000</v>
      </c>
      <c r="B49" s="3">
        <v>30000</v>
      </c>
      <c r="C49" s="3">
        <v>15000</v>
      </c>
      <c r="D49" s="3">
        <v>15000</v>
      </c>
    </row>
    <row r="50" spans="1:4" x14ac:dyDescent="0.35">
      <c r="A50" s="5">
        <f t="shared" si="0"/>
        <v>18000</v>
      </c>
      <c r="B50" s="3">
        <v>18000</v>
      </c>
      <c r="C50" s="3">
        <v>9000</v>
      </c>
      <c r="D50" s="3">
        <v>9000</v>
      </c>
    </row>
    <row r="51" spans="1:4" x14ac:dyDescent="0.35">
      <c r="A51" s="5">
        <f t="shared" si="0"/>
        <v>35000</v>
      </c>
      <c r="B51" s="3">
        <v>35000</v>
      </c>
      <c r="C51" s="3">
        <v>17500</v>
      </c>
      <c r="D51" s="3">
        <v>17500</v>
      </c>
    </row>
    <row r="52" spans="1:4" x14ac:dyDescent="0.35">
      <c r="A52" s="5">
        <f t="shared" si="0"/>
        <v>16000</v>
      </c>
      <c r="B52" s="3">
        <v>16000</v>
      </c>
      <c r="C52" s="3">
        <v>8000</v>
      </c>
      <c r="D52" s="3">
        <v>8000</v>
      </c>
    </row>
    <row r="53" spans="1:4" x14ac:dyDescent="0.35">
      <c r="A53" s="5">
        <f t="shared" si="0"/>
        <v>30000</v>
      </c>
      <c r="B53" s="3">
        <v>30000</v>
      </c>
      <c r="C53" s="3">
        <v>15000</v>
      </c>
      <c r="D53" s="3">
        <v>15000</v>
      </c>
    </row>
    <row r="54" spans="1:4" x14ac:dyDescent="0.35">
      <c r="A54" s="5">
        <f t="shared" si="0"/>
        <v>18000</v>
      </c>
      <c r="B54" s="3">
        <v>18000</v>
      </c>
      <c r="C54" s="3">
        <v>9000</v>
      </c>
      <c r="D54" s="3">
        <v>9000</v>
      </c>
    </row>
    <row r="55" spans="1:4" x14ac:dyDescent="0.35">
      <c r="A55" s="5">
        <f t="shared" si="0"/>
        <v>600000</v>
      </c>
      <c r="B55" s="3">
        <v>30000000</v>
      </c>
      <c r="C55" s="3">
        <v>300000</v>
      </c>
      <c r="D55" s="3">
        <v>300000</v>
      </c>
    </row>
    <row r="56" spans="1:4" x14ac:dyDescent="0.35">
      <c r="A56" s="5">
        <f t="shared" si="0"/>
        <v>60000</v>
      </c>
      <c r="B56" s="3">
        <v>3000000</v>
      </c>
      <c r="C56" s="3">
        <v>30000</v>
      </c>
      <c r="D56" s="3">
        <v>30000</v>
      </c>
    </row>
    <row r="57" spans="1:4" x14ac:dyDescent="0.35">
      <c r="A57" s="5">
        <f t="shared" si="0"/>
        <v>200000</v>
      </c>
      <c r="B57" s="3">
        <v>10000000</v>
      </c>
      <c r="C57" s="3">
        <v>100000</v>
      </c>
      <c r="D57" s="3">
        <v>100000</v>
      </c>
    </row>
    <row r="58" spans="1:4" x14ac:dyDescent="0.35">
      <c r="A58" s="5">
        <f t="shared" si="0"/>
        <v>100000</v>
      </c>
      <c r="B58" s="3">
        <v>5000000</v>
      </c>
      <c r="C58" s="3">
        <v>50000</v>
      </c>
      <c r="D58" s="3">
        <v>50000</v>
      </c>
    </row>
    <row r="59" spans="1:4" x14ac:dyDescent="0.35">
      <c r="A59" s="5">
        <f t="shared" si="0"/>
        <v>250000</v>
      </c>
      <c r="B59" s="3">
        <v>25000000</v>
      </c>
      <c r="C59" s="3">
        <v>0</v>
      </c>
      <c r="D59" s="3">
        <v>250000</v>
      </c>
    </row>
    <row r="60" spans="1:4" x14ac:dyDescent="0.35">
      <c r="A60" s="5">
        <f t="shared" si="0"/>
        <v>15000</v>
      </c>
      <c r="B60" s="3">
        <v>15000</v>
      </c>
      <c r="C60" s="3">
        <v>7500</v>
      </c>
      <c r="D60" s="3">
        <v>7500</v>
      </c>
    </row>
    <row r="61" spans="1:4" x14ac:dyDescent="0.35">
      <c r="A61" s="5">
        <f t="shared" si="0"/>
        <v>30000</v>
      </c>
      <c r="B61" s="3">
        <v>30000</v>
      </c>
      <c r="C61" s="3">
        <v>15000</v>
      </c>
      <c r="D61" s="3">
        <v>15000</v>
      </c>
    </row>
    <row r="62" spans="1:4" x14ac:dyDescent="0.35">
      <c r="A62" s="5">
        <f t="shared" si="0"/>
        <v>18000</v>
      </c>
      <c r="B62" s="3">
        <v>18000</v>
      </c>
      <c r="C62" s="3">
        <v>9000</v>
      </c>
      <c r="D62" s="3">
        <v>9000</v>
      </c>
    </row>
    <row r="63" spans="1:4" x14ac:dyDescent="0.35">
      <c r="A63" s="5">
        <f t="shared" si="0"/>
        <v>40000</v>
      </c>
      <c r="B63" s="3">
        <v>40000</v>
      </c>
      <c r="C63" s="3">
        <v>20000</v>
      </c>
      <c r="D63" s="3">
        <v>20000</v>
      </c>
    </row>
    <row r="64" spans="1:4" x14ac:dyDescent="0.35">
      <c r="A64" s="5">
        <f t="shared" si="0"/>
        <v>16000</v>
      </c>
      <c r="B64" s="3">
        <v>16000</v>
      </c>
      <c r="C64" s="3">
        <v>8000</v>
      </c>
      <c r="D64" s="3">
        <v>8000</v>
      </c>
    </row>
    <row r="65" spans="1:4" x14ac:dyDescent="0.35">
      <c r="A65" s="5">
        <f t="shared" si="0"/>
        <v>12000</v>
      </c>
      <c r="B65" s="3">
        <v>12000</v>
      </c>
      <c r="C65" s="3">
        <v>6000</v>
      </c>
      <c r="D65" s="3">
        <v>6000</v>
      </c>
    </row>
    <row r="66" spans="1:4" x14ac:dyDescent="0.35">
      <c r="A66" s="5">
        <f t="shared" ref="A66:A129" si="1">C66+D66</f>
        <v>35000</v>
      </c>
      <c r="B66" s="3">
        <v>35000</v>
      </c>
      <c r="C66" s="3">
        <v>17500</v>
      </c>
      <c r="D66" s="3">
        <v>17500</v>
      </c>
    </row>
    <row r="67" spans="1:4" x14ac:dyDescent="0.35">
      <c r="A67" s="5">
        <f t="shared" si="1"/>
        <v>14000</v>
      </c>
      <c r="B67" s="3">
        <v>14000</v>
      </c>
      <c r="C67" s="3">
        <v>7000</v>
      </c>
      <c r="D67" s="3">
        <v>7000</v>
      </c>
    </row>
    <row r="68" spans="1:4" x14ac:dyDescent="0.35">
      <c r="A68" s="5">
        <f t="shared" si="1"/>
        <v>32000</v>
      </c>
      <c r="B68" s="3">
        <v>32000</v>
      </c>
      <c r="C68" s="3">
        <v>16000</v>
      </c>
      <c r="D68" s="3">
        <v>16000</v>
      </c>
    </row>
    <row r="69" spans="1:4" x14ac:dyDescent="0.35">
      <c r="A69" s="5">
        <f t="shared" si="1"/>
        <v>20000</v>
      </c>
      <c r="B69" s="3">
        <v>20000</v>
      </c>
      <c r="C69" s="3">
        <v>10000</v>
      </c>
      <c r="D69" s="3">
        <v>10000</v>
      </c>
    </row>
    <row r="70" spans="1:4" x14ac:dyDescent="0.35">
      <c r="A70" s="5">
        <f t="shared" si="1"/>
        <v>17000</v>
      </c>
      <c r="B70" s="3">
        <v>17000</v>
      </c>
      <c r="C70" s="3">
        <v>8500</v>
      </c>
      <c r="D70" s="3">
        <v>8500</v>
      </c>
    </row>
    <row r="71" spans="1:4" x14ac:dyDescent="0.35">
      <c r="A71" s="5">
        <f t="shared" si="1"/>
        <v>38000</v>
      </c>
      <c r="B71" s="3">
        <v>38000</v>
      </c>
      <c r="C71" s="3">
        <v>19000</v>
      </c>
      <c r="D71" s="3">
        <v>19000</v>
      </c>
    </row>
    <row r="72" spans="1:4" x14ac:dyDescent="0.35">
      <c r="A72" s="5">
        <f t="shared" si="1"/>
        <v>15000</v>
      </c>
      <c r="B72" s="3">
        <v>15000</v>
      </c>
      <c r="C72" s="3">
        <v>7500</v>
      </c>
      <c r="D72" s="3">
        <v>7500</v>
      </c>
    </row>
    <row r="73" spans="1:4" x14ac:dyDescent="0.35">
      <c r="A73" s="5">
        <f t="shared" si="1"/>
        <v>30000</v>
      </c>
      <c r="B73" s="3">
        <v>30000</v>
      </c>
      <c r="C73" s="3">
        <v>15000</v>
      </c>
      <c r="D73" s="3">
        <v>15000</v>
      </c>
    </row>
    <row r="74" spans="1:4" x14ac:dyDescent="0.35">
      <c r="A74" s="5">
        <f t="shared" si="1"/>
        <v>16000</v>
      </c>
      <c r="B74" s="3">
        <v>16000</v>
      </c>
      <c r="C74" s="3">
        <v>8000</v>
      </c>
      <c r="D74" s="3">
        <v>8000</v>
      </c>
    </row>
    <row r="75" spans="1:4" x14ac:dyDescent="0.35">
      <c r="A75" s="5">
        <f t="shared" si="1"/>
        <v>20000</v>
      </c>
      <c r="B75" s="3">
        <v>20000</v>
      </c>
      <c r="C75" s="3">
        <v>10000</v>
      </c>
      <c r="D75" s="3">
        <v>10000</v>
      </c>
    </row>
    <row r="76" spans="1:4" x14ac:dyDescent="0.35">
      <c r="A76" s="5">
        <f t="shared" si="1"/>
        <v>35000</v>
      </c>
      <c r="B76" s="3">
        <v>35000</v>
      </c>
      <c r="C76" s="3">
        <v>17500</v>
      </c>
      <c r="D76" s="3">
        <v>17500</v>
      </c>
    </row>
    <row r="77" spans="1:4" x14ac:dyDescent="0.35">
      <c r="A77" s="5">
        <f t="shared" si="1"/>
        <v>15000</v>
      </c>
      <c r="B77" s="3">
        <v>15000</v>
      </c>
      <c r="C77" s="3">
        <v>7500</v>
      </c>
      <c r="D77" s="3">
        <v>7500</v>
      </c>
    </row>
    <row r="78" spans="1:4" x14ac:dyDescent="0.35">
      <c r="A78" s="5">
        <f t="shared" si="1"/>
        <v>32000</v>
      </c>
      <c r="B78" s="3">
        <v>32000</v>
      </c>
      <c r="C78" s="3">
        <v>16000</v>
      </c>
      <c r="D78" s="3">
        <v>16000</v>
      </c>
    </row>
    <row r="79" spans="1:4" x14ac:dyDescent="0.35">
      <c r="A79" s="5">
        <f t="shared" si="1"/>
        <v>18000</v>
      </c>
      <c r="B79" s="3">
        <v>18000</v>
      </c>
      <c r="C79" s="3">
        <v>9000</v>
      </c>
      <c r="D79" s="3">
        <v>9000</v>
      </c>
    </row>
    <row r="80" spans="1:4" x14ac:dyDescent="0.35">
      <c r="A80" s="5">
        <f t="shared" si="1"/>
        <v>20000</v>
      </c>
      <c r="B80" s="3">
        <v>20000</v>
      </c>
      <c r="C80" s="3">
        <v>10000</v>
      </c>
      <c r="D80" s="3">
        <v>10000</v>
      </c>
    </row>
    <row r="81" spans="1:4" x14ac:dyDescent="0.35">
      <c r="A81" s="5">
        <f t="shared" si="1"/>
        <v>40000</v>
      </c>
      <c r="B81" s="3">
        <v>40000</v>
      </c>
      <c r="C81" s="3">
        <v>20000</v>
      </c>
      <c r="D81" s="3">
        <v>20000</v>
      </c>
    </row>
    <row r="82" spans="1:4" x14ac:dyDescent="0.35">
      <c r="A82" s="5">
        <f t="shared" si="1"/>
        <v>16000</v>
      </c>
      <c r="B82" s="3">
        <v>16000</v>
      </c>
      <c r="C82" s="3">
        <v>8000</v>
      </c>
      <c r="D82" s="3">
        <v>8000</v>
      </c>
    </row>
    <row r="83" spans="1:4" x14ac:dyDescent="0.35">
      <c r="A83" s="5">
        <f t="shared" si="1"/>
        <v>30000</v>
      </c>
      <c r="B83" s="3">
        <v>30000</v>
      </c>
      <c r="C83" s="3">
        <v>15000</v>
      </c>
      <c r="D83" s="3">
        <v>15000</v>
      </c>
    </row>
    <row r="84" spans="1:4" x14ac:dyDescent="0.35">
      <c r="A84" s="5">
        <f t="shared" si="1"/>
        <v>20000</v>
      </c>
      <c r="B84" s="3">
        <v>20000</v>
      </c>
      <c r="C84" s="3">
        <v>10000</v>
      </c>
      <c r="D84" s="3">
        <v>10000</v>
      </c>
    </row>
    <row r="85" spans="1:4" x14ac:dyDescent="0.35">
      <c r="A85" s="5">
        <f t="shared" si="1"/>
        <v>35000</v>
      </c>
      <c r="B85" s="3">
        <v>35000</v>
      </c>
      <c r="C85" s="3">
        <v>17500</v>
      </c>
      <c r="D85" s="3">
        <v>17500</v>
      </c>
    </row>
    <row r="86" spans="1:4" x14ac:dyDescent="0.35">
      <c r="A86" s="5">
        <f t="shared" si="1"/>
        <v>18000</v>
      </c>
      <c r="B86" s="3">
        <v>18000</v>
      </c>
      <c r="C86" s="3">
        <v>9000</v>
      </c>
      <c r="D86" s="3">
        <v>9000</v>
      </c>
    </row>
    <row r="87" spans="1:4" x14ac:dyDescent="0.35">
      <c r="A87" s="5">
        <f t="shared" si="1"/>
        <v>15000</v>
      </c>
      <c r="B87" s="3">
        <v>15000</v>
      </c>
      <c r="C87" s="3">
        <v>7500</v>
      </c>
      <c r="D87" s="3">
        <v>7500</v>
      </c>
    </row>
    <row r="88" spans="1:4" x14ac:dyDescent="0.35">
      <c r="A88" s="5">
        <f t="shared" si="1"/>
        <v>30000</v>
      </c>
      <c r="B88" s="3">
        <v>30000</v>
      </c>
      <c r="C88" s="3">
        <v>15000</v>
      </c>
      <c r="D88" s="3">
        <v>15000</v>
      </c>
    </row>
    <row r="89" spans="1:4" x14ac:dyDescent="0.35">
      <c r="A89" s="5">
        <f t="shared" si="1"/>
        <v>16000</v>
      </c>
      <c r="B89" s="3">
        <v>16000</v>
      </c>
      <c r="C89" s="3">
        <v>8000</v>
      </c>
      <c r="D89" s="3">
        <v>8000</v>
      </c>
    </row>
    <row r="90" spans="1:4" x14ac:dyDescent="0.35">
      <c r="A90" s="5">
        <f t="shared" si="1"/>
        <v>20000</v>
      </c>
      <c r="B90" s="3">
        <v>20000</v>
      </c>
      <c r="C90" s="3">
        <v>10000</v>
      </c>
      <c r="D90" s="3">
        <v>10000</v>
      </c>
    </row>
    <row r="91" spans="1:4" x14ac:dyDescent="0.35">
      <c r="A91" s="5">
        <f t="shared" si="1"/>
        <v>40000</v>
      </c>
      <c r="B91" s="3">
        <v>40000</v>
      </c>
      <c r="C91" s="3">
        <v>20000</v>
      </c>
      <c r="D91" s="3">
        <v>20000</v>
      </c>
    </row>
    <row r="92" spans="1:4" x14ac:dyDescent="0.35">
      <c r="A92" s="5">
        <f t="shared" si="1"/>
        <v>15000</v>
      </c>
      <c r="B92" s="3">
        <v>15000</v>
      </c>
      <c r="C92" s="3">
        <v>7500</v>
      </c>
      <c r="D92" s="3">
        <v>7500</v>
      </c>
    </row>
    <row r="93" spans="1:4" x14ac:dyDescent="0.35">
      <c r="A93" s="5">
        <f t="shared" si="1"/>
        <v>32000</v>
      </c>
      <c r="B93" s="3">
        <v>32000</v>
      </c>
      <c r="C93" s="3">
        <v>16000</v>
      </c>
      <c r="D93" s="3">
        <v>16000</v>
      </c>
    </row>
    <row r="94" spans="1:4" x14ac:dyDescent="0.35">
      <c r="A94" s="5">
        <f t="shared" si="1"/>
        <v>18000</v>
      </c>
      <c r="B94" s="3">
        <v>18000</v>
      </c>
      <c r="C94" s="3">
        <v>9000</v>
      </c>
      <c r="D94" s="3">
        <v>9000</v>
      </c>
    </row>
    <row r="95" spans="1:4" x14ac:dyDescent="0.35">
      <c r="A95" s="5">
        <f t="shared" si="1"/>
        <v>35000</v>
      </c>
      <c r="B95" s="3">
        <v>35000</v>
      </c>
      <c r="C95" s="3">
        <v>17500</v>
      </c>
      <c r="D95" s="3">
        <v>17500</v>
      </c>
    </row>
    <row r="96" spans="1:4" x14ac:dyDescent="0.35">
      <c r="A96" s="5">
        <f t="shared" si="1"/>
        <v>16000</v>
      </c>
      <c r="B96" s="3">
        <v>16000</v>
      </c>
      <c r="C96" s="3">
        <v>8000</v>
      </c>
      <c r="D96" s="3">
        <v>8000</v>
      </c>
    </row>
    <row r="97" spans="1:4" x14ac:dyDescent="0.35">
      <c r="A97" s="5">
        <f t="shared" si="1"/>
        <v>15000</v>
      </c>
      <c r="B97" s="3">
        <v>15000</v>
      </c>
      <c r="C97" s="3">
        <v>7500</v>
      </c>
      <c r="D97" s="3">
        <v>7500</v>
      </c>
    </row>
    <row r="98" spans="1:4" x14ac:dyDescent="0.35">
      <c r="A98" s="5">
        <f t="shared" si="1"/>
        <v>30000</v>
      </c>
      <c r="B98" s="3">
        <v>30000</v>
      </c>
      <c r="C98" s="3">
        <v>15000</v>
      </c>
      <c r="D98" s="3">
        <v>15000</v>
      </c>
    </row>
    <row r="99" spans="1:4" x14ac:dyDescent="0.35">
      <c r="A99" s="5">
        <f t="shared" si="1"/>
        <v>20000</v>
      </c>
      <c r="B99" s="3">
        <v>20000</v>
      </c>
      <c r="C99" s="3">
        <v>10000</v>
      </c>
      <c r="D99" s="3">
        <v>10000</v>
      </c>
    </row>
    <row r="100" spans="1:4" x14ac:dyDescent="0.35">
      <c r="A100" s="5">
        <f t="shared" si="1"/>
        <v>16000</v>
      </c>
      <c r="B100" s="3">
        <v>16000</v>
      </c>
      <c r="C100" s="3">
        <v>8000</v>
      </c>
      <c r="D100" s="3">
        <v>8000</v>
      </c>
    </row>
    <row r="101" spans="1:4" x14ac:dyDescent="0.35">
      <c r="A101" s="5">
        <f t="shared" si="1"/>
        <v>35000</v>
      </c>
      <c r="B101" s="3">
        <v>35000</v>
      </c>
      <c r="C101" s="3">
        <v>17500</v>
      </c>
      <c r="D101" s="3">
        <v>17500</v>
      </c>
    </row>
    <row r="102" spans="1:4" x14ac:dyDescent="0.35">
      <c r="A102" s="5">
        <f t="shared" si="1"/>
        <v>15000</v>
      </c>
      <c r="B102" s="3">
        <v>15000</v>
      </c>
      <c r="C102" s="3">
        <v>7500</v>
      </c>
      <c r="D102" s="3">
        <v>7500</v>
      </c>
    </row>
    <row r="103" spans="1:4" x14ac:dyDescent="0.35">
      <c r="A103" s="5">
        <f t="shared" si="1"/>
        <v>30000</v>
      </c>
      <c r="B103" s="3">
        <v>30000</v>
      </c>
      <c r="C103" s="3">
        <v>15000</v>
      </c>
      <c r="D103" s="3">
        <v>15000</v>
      </c>
    </row>
    <row r="104" spans="1:4" x14ac:dyDescent="0.35">
      <c r="A104" s="5">
        <f t="shared" si="1"/>
        <v>18000</v>
      </c>
      <c r="B104" s="3">
        <v>18000</v>
      </c>
      <c r="C104" s="3">
        <v>9000</v>
      </c>
      <c r="D104" s="3">
        <v>9000</v>
      </c>
    </row>
    <row r="105" spans="1:4" x14ac:dyDescent="0.35">
      <c r="A105" s="5">
        <f t="shared" si="1"/>
        <v>40000</v>
      </c>
      <c r="B105" s="3">
        <v>40000</v>
      </c>
      <c r="C105" s="3">
        <v>20000</v>
      </c>
      <c r="D105" s="3">
        <v>20000</v>
      </c>
    </row>
    <row r="106" spans="1:4" x14ac:dyDescent="0.35">
      <c r="A106" s="5">
        <f t="shared" si="1"/>
        <v>17000</v>
      </c>
      <c r="B106" s="3">
        <v>17000</v>
      </c>
      <c r="C106" s="3">
        <v>8500</v>
      </c>
      <c r="D106" s="3">
        <v>8500</v>
      </c>
    </row>
    <row r="107" spans="1:4" x14ac:dyDescent="0.35">
      <c r="A107" s="5">
        <f t="shared" si="1"/>
        <v>15000</v>
      </c>
      <c r="B107" s="3">
        <v>15000</v>
      </c>
      <c r="C107" s="3">
        <v>7500</v>
      </c>
      <c r="D107" s="3">
        <v>7500</v>
      </c>
    </row>
    <row r="108" spans="1:4" x14ac:dyDescent="0.35">
      <c r="A108" s="5">
        <f t="shared" si="1"/>
        <v>35000</v>
      </c>
      <c r="B108" s="3">
        <v>35000</v>
      </c>
      <c r="C108" s="3">
        <v>17500</v>
      </c>
      <c r="D108" s="3">
        <v>17500</v>
      </c>
    </row>
    <row r="109" spans="1:4" x14ac:dyDescent="0.35">
      <c r="A109" s="5">
        <f t="shared" si="1"/>
        <v>20000</v>
      </c>
      <c r="B109" s="3">
        <v>20000</v>
      </c>
      <c r="C109" s="3">
        <v>10000</v>
      </c>
      <c r="D109" s="3">
        <v>10000</v>
      </c>
    </row>
    <row r="110" spans="1:4" x14ac:dyDescent="0.35">
      <c r="A110" s="5">
        <f t="shared" si="1"/>
        <v>38000</v>
      </c>
      <c r="B110" s="3">
        <v>38000</v>
      </c>
      <c r="C110" s="3">
        <v>19000</v>
      </c>
      <c r="D110" s="3">
        <v>19000</v>
      </c>
    </row>
    <row r="111" spans="1:4" x14ac:dyDescent="0.35">
      <c r="A111" s="5">
        <f t="shared" si="1"/>
        <v>16000</v>
      </c>
      <c r="B111" s="3">
        <v>16000</v>
      </c>
      <c r="C111" s="3">
        <v>8000</v>
      </c>
      <c r="D111" s="3">
        <v>8000</v>
      </c>
    </row>
    <row r="112" spans="1:4" x14ac:dyDescent="0.35">
      <c r="A112" s="5">
        <f t="shared" si="1"/>
        <v>300000</v>
      </c>
      <c r="B112" s="3">
        <v>15000000</v>
      </c>
      <c r="C112" s="3">
        <v>150000</v>
      </c>
      <c r="D112" s="3">
        <v>150000</v>
      </c>
    </row>
    <row r="113" spans="1:4" x14ac:dyDescent="0.35">
      <c r="A113" s="5">
        <f t="shared" si="1"/>
        <v>70000</v>
      </c>
      <c r="B113" s="3">
        <v>3500000</v>
      </c>
      <c r="C113" s="3">
        <v>35000</v>
      </c>
      <c r="D113" s="3">
        <v>35000</v>
      </c>
    </row>
    <row r="114" spans="1:4" x14ac:dyDescent="0.35">
      <c r="A114" s="5">
        <f t="shared" si="1"/>
        <v>600000</v>
      </c>
      <c r="B114" s="3">
        <v>30000000</v>
      </c>
      <c r="C114" s="3">
        <v>300000</v>
      </c>
      <c r="D114" s="3">
        <v>300000</v>
      </c>
    </row>
    <row r="115" spans="1:4" x14ac:dyDescent="0.35">
      <c r="A115" s="5">
        <f t="shared" si="1"/>
        <v>500000</v>
      </c>
      <c r="B115" s="3">
        <v>25000000</v>
      </c>
      <c r="C115" s="3">
        <v>250000</v>
      </c>
      <c r="D115" s="3">
        <v>250000</v>
      </c>
    </row>
    <row r="116" spans="1:4" x14ac:dyDescent="0.35">
      <c r="A116" s="5">
        <f t="shared" si="1"/>
        <v>60000</v>
      </c>
      <c r="B116" s="3">
        <v>3000000</v>
      </c>
      <c r="C116" s="3">
        <v>30000</v>
      </c>
      <c r="D116" s="3">
        <v>30000</v>
      </c>
    </row>
    <row r="117" spans="1:4" x14ac:dyDescent="0.35">
      <c r="A117" s="5">
        <f t="shared" si="1"/>
        <v>15000</v>
      </c>
      <c r="B117" s="3">
        <v>15000</v>
      </c>
      <c r="C117" s="3">
        <v>7500</v>
      </c>
      <c r="D117" s="3">
        <v>7500</v>
      </c>
    </row>
    <row r="118" spans="1:4" x14ac:dyDescent="0.35">
      <c r="A118" s="5">
        <f t="shared" si="1"/>
        <v>30000</v>
      </c>
      <c r="B118" s="3">
        <v>30000</v>
      </c>
      <c r="C118" s="3">
        <v>15000</v>
      </c>
      <c r="D118" s="3">
        <v>15000</v>
      </c>
    </row>
    <row r="119" spans="1:4" x14ac:dyDescent="0.35">
      <c r="A119" s="5">
        <f t="shared" si="1"/>
        <v>18000</v>
      </c>
      <c r="B119" s="3">
        <v>18000</v>
      </c>
      <c r="C119" s="3">
        <v>9000</v>
      </c>
      <c r="D119" s="3">
        <v>9000</v>
      </c>
    </row>
    <row r="120" spans="1:4" x14ac:dyDescent="0.35">
      <c r="A120" s="5">
        <f t="shared" si="1"/>
        <v>20000</v>
      </c>
      <c r="B120" s="3">
        <v>20000</v>
      </c>
      <c r="C120" s="3">
        <v>10000</v>
      </c>
      <c r="D120" s="3">
        <v>10000</v>
      </c>
    </row>
    <row r="121" spans="1:4" x14ac:dyDescent="0.35">
      <c r="A121" s="5">
        <f t="shared" si="1"/>
        <v>35000</v>
      </c>
      <c r="B121" s="3">
        <v>35000</v>
      </c>
      <c r="C121" s="3">
        <v>17500</v>
      </c>
      <c r="D121" s="3">
        <v>17500</v>
      </c>
    </row>
    <row r="122" spans="1:4" x14ac:dyDescent="0.35">
      <c r="A122" s="5">
        <f t="shared" si="1"/>
        <v>15000</v>
      </c>
      <c r="B122" s="3">
        <v>15000</v>
      </c>
      <c r="C122" s="3">
        <v>7500</v>
      </c>
      <c r="D122" s="3">
        <v>7500</v>
      </c>
    </row>
    <row r="123" spans="1:4" x14ac:dyDescent="0.35">
      <c r="A123" s="5">
        <f t="shared" si="1"/>
        <v>32000</v>
      </c>
      <c r="B123" s="3">
        <v>32000</v>
      </c>
      <c r="C123" s="3">
        <v>16000</v>
      </c>
      <c r="D123" s="3">
        <v>16000</v>
      </c>
    </row>
    <row r="124" spans="1:4" x14ac:dyDescent="0.35">
      <c r="A124" s="5">
        <f t="shared" si="1"/>
        <v>19000</v>
      </c>
      <c r="B124" s="3">
        <v>19000</v>
      </c>
      <c r="C124" s="3">
        <v>9500</v>
      </c>
      <c r="D124" s="3">
        <v>9500</v>
      </c>
    </row>
    <row r="125" spans="1:4" x14ac:dyDescent="0.35">
      <c r="A125" s="5">
        <f t="shared" si="1"/>
        <v>17000</v>
      </c>
      <c r="B125" s="3">
        <v>17000</v>
      </c>
      <c r="C125" s="3">
        <v>8500</v>
      </c>
      <c r="D125" s="3">
        <v>8500</v>
      </c>
    </row>
    <row r="126" spans="1:4" x14ac:dyDescent="0.35">
      <c r="A126" s="5">
        <f t="shared" si="1"/>
        <v>40000</v>
      </c>
      <c r="B126" s="3">
        <v>40000</v>
      </c>
      <c r="C126" s="3">
        <v>20000</v>
      </c>
      <c r="D126" s="3">
        <v>20000</v>
      </c>
    </row>
    <row r="127" spans="1:4" x14ac:dyDescent="0.35">
      <c r="A127" s="5">
        <f t="shared" si="1"/>
        <v>15000</v>
      </c>
      <c r="B127" s="3">
        <v>15000</v>
      </c>
      <c r="C127" s="3">
        <v>7500</v>
      </c>
      <c r="D127" s="3">
        <v>7500</v>
      </c>
    </row>
    <row r="128" spans="1:4" x14ac:dyDescent="0.35">
      <c r="A128" s="5">
        <f t="shared" si="1"/>
        <v>30000</v>
      </c>
      <c r="B128" s="3">
        <v>30000</v>
      </c>
      <c r="C128" s="3">
        <v>15000</v>
      </c>
      <c r="D128" s="3">
        <v>15000</v>
      </c>
    </row>
    <row r="129" spans="1:4" x14ac:dyDescent="0.35">
      <c r="A129" s="5">
        <f t="shared" si="1"/>
        <v>16000</v>
      </c>
      <c r="B129" s="3">
        <v>16000</v>
      </c>
      <c r="C129" s="3">
        <v>8000</v>
      </c>
      <c r="D129" s="3">
        <v>8000</v>
      </c>
    </row>
    <row r="130" spans="1:4" x14ac:dyDescent="0.35">
      <c r="A130" s="5">
        <f t="shared" ref="A130:A193" si="2">C130+D130</f>
        <v>18000</v>
      </c>
      <c r="B130" s="3">
        <v>18000</v>
      </c>
      <c r="C130" s="3">
        <v>9000</v>
      </c>
      <c r="D130" s="3">
        <v>9000</v>
      </c>
    </row>
    <row r="131" spans="1:4" x14ac:dyDescent="0.35">
      <c r="A131" s="5">
        <f t="shared" si="2"/>
        <v>32000</v>
      </c>
      <c r="B131" s="3">
        <v>32000</v>
      </c>
      <c r="C131" s="3">
        <v>16000</v>
      </c>
      <c r="D131" s="3">
        <v>16000</v>
      </c>
    </row>
    <row r="132" spans="1:4" x14ac:dyDescent="0.35">
      <c r="A132" s="5">
        <f t="shared" si="2"/>
        <v>15000</v>
      </c>
      <c r="B132" s="3">
        <v>15000</v>
      </c>
      <c r="C132" s="3">
        <v>7500</v>
      </c>
      <c r="D132" s="3">
        <v>7500</v>
      </c>
    </row>
    <row r="133" spans="1:4" x14ac:dyDescent="0.35">
      <c r="A133" s="5">
        <f t="shared" si="2"/>
        <v>30000</v>
      </c>
      <c r="B133" s="3">
        <v>30000</v>
      </c>
      <c r="C133" s="3">
        <v>15000</v>
      </c>
      <c r="D133" s="3">
        <v>15000</v>
      </c>
    </row>
    <row r="134" spans="1:4" x14ac:dyDescent="0.35">
      <c r="A134" s="5">
        <f t="shared" si="2"/>
        <v>19000</v>
      </c>
      <c r="B134" s="3">
        <v>19000</v>
      </c>
      <c r="C134" s="3">
        <v>9500</v>
      </c>
      <c r="D134" s="3">
        <v>9500</v>
      </c>
    </row>
    <row r="135" spans="1:4" x14ac:dyDescent="0.35">
      <c r="A135" s="5">
        <f t="shared" si="2"/>
        <v>17000</v>
      </c>
      <c r="B135" s="3">
        <v>17000</v>
      </c>
      <c r="C135" s="3">
        <v>8500</v>
      </c>
      <c r="D135" s="3">
        <v>8500</v>
      </c>
    </row>
    <row r="136" spans="1:4" x14ac:dyDescent="0.35">
      <c r="A136" s="5">
        <f t="shared" si="2"/>
        <v>40000</v>
      </c>
      <c r="B136" s="3">
        <v>40000</v>
      </c>
      <c r="C136" s="3">
        <v>20000</v>
      </c>
      <c r="D136" s="3">
        <v>20000</v>
      </c>
    </row>
    <row r="137" spans="1:4" x14ac:dyDescent="0.35">
      <c r="A137" s="5">
        <f t="shared" si="2"/>
        <v>15000</v>
      </c>
      <c r="B137" s="3">
        <v>15000</v>
      </c>
      <c r="C137" s="3">
        <v>7500</v>
      </c>
      <c r="D137" s="3">
        <v>7500</v>
      </c>
    </row>
    <row r="138" spans="1:4" x14ac:dyDescent="0.35">
      <c r="A138" s="5">
        <f t="shared" si="2"/>
        <v>30000</v>
      </c>
      <c r="B138" s="3">
        <v>30000</v>
      </c>
      <c r="C138" s="3">
        <v>15000</v>
      </c>
      <c r="D138" s="3">
        <v>15000</v>
      </c>
    </row>
    <row r="139" spans="1:4" x14ac:dyDescent="0.35">
      <c r="A139" s="5">
        <f t="shared" si="2"/>
        <v>16000</v>
      </c>
      <c r="B139" s="3">
        <v>16000</v>
      </c>
      <c r="C139" s="3">
        <v>8000</v>
      </c>
      <c r="D139" s="3">
        <v>8000</v>
      </c>
    </row>
    <row r="140" spans="1:4" x14ac:dyDescent="0.35">
      <c r="A140" s="5">
        <f t="shared" si="2"/>
        <v>18000</v>
      </c>
      <c r="B140" s="3">
        <v>18000</v>
      </c>
      <c r="C140" s="3">
        <v>9000</v>
      </c>
      <c r="D140" s="3">
        <v>9000</v>
      </c>
    </row>
    <row r="141" spans="1:4" x14ac:dyDescent="0.35">
      <c r="A141" s="5">
        <f t="shared" si="2"/>
        <v>35000</v>
      </c>
      <c r="B141" s="3">
        <v>35000</v>
      </c>
      <c r="C141" s="3">
        <v>17500</v>
      </c>
      <c r="D141" s="3">
        <v>17500</v>
      </c>
    </row>
    <row r="142" spans="1:4" x14ac:dyDescent="0.35">
      <c r="A142" s="5">
        <f t="shared" si="2"/>
        <v>15000</v>
      </c>
      <c r="B142" s="3">
        <v>15000</v>
      </c>
      <c r="C142" s="3">
        <v>7500</v>
      </c>
      <c r="D142" s="3">
        <v>7500</v>
      </c>
    </row>
    <row r="143" spans="1:4" x14ac:dyDescent="0.35">
      <c r="A143" s="5">
        <f t="shared" si="2"/>
        <v>32000</v>
      </c>
      <c r="B143" s="3">
        <v>32000</v>
      </c>
      <c r="C143" s="3">
        <v>16000</v>
      </c>
      <c r="D143" s="3">
        <v>16000</v>
      </c>
    </row>
    <row r="144" spans="1:4" x14ac:dyDescent="0.35">
      <c r="A144" s="5">
        <f t="shared" si="2"/>
        <v>19000</v>
      </c>
      <c r="B144" s="3">
        <v>19000</v>
      </c>
      <c r="C144" s="3">
        <v>9500</v>
      </c>
      <c r="D144" s="3">
        <v>9500</v>
      </c>
    </row>
    <row r="145" spans="1:4" x14ac:dyDescent="0.35">
      <c r="A145" s="5">
        <f t="shared" si="2"/>
        <v>17000</v>
      </c>
      <c r="B145" s="3">
        <v>17000</v>
      </c>
      <c r="C145" s="3">
        <v>8500</v>
      </c>
      <c r="D145" s="3">
        <v>8500</v>
      </c>
    </row>
    <row r="146" spans="1:4" x14ac:dyDescent="0.35">
      <c r="A146" s="5">
        <f t="shared" si="2"/>
        <v>40000</v>
      </c>
      <c r="B146" s="3">
        <v>40000</v>
      </c>
      <c r="C146" s="3">
        <v>20000</v>
      </c>
      <c r="D146" s="3">
        <v>20000</v>
      </c>
    </row>
    <row r="147" spans="1:4" x14ac:dyDescent="0.35">
      <c r="A147" s="5">
        <f t="shared" si="2"/>
        <v>15000</v>
      </c>
      <c r="B147" s="3">
        <v>15000</v>
      </c>
      <c r="C147" s="3">
        <v>7500</v>
      </c>
      <c r="D147" s="3">
        <v>7500</v>
      </c>
    </row>
    <row r="148" spans="1:4" x14ac:dyDescent="0.35">
      <c r="A148" s="5">
        <f t="shared" si="2"/>
        <v>30000</v>
      </c>
      <c r="B148" s="3">
        <v>30000</v>
      </c>
      <c r="C148" s="3">
        <v>15000</v>
      </c>
      <c r="D148" s="3">
        <v>15000</v>
      </c>
    </row>
    <row r="149" spans="1:4" x14ac:dyDescent="0.35">
      <c r="A149" s="5">
        <f t="shared" si="2"/>
        <v>16000</v>
      </c>
      <c r="B149" s="3">
        <v>16000</v>
      </c>
      <c r="C149" s="3">
        <v>8000</v>
      </c>
      <c r="D149" s="3">
        <v>8000</v>
      </c>
    </row>
    <row r="150" spans="1:4" x14ac:dyDescent="0.35">
      <c r="A150" s="5">
        <f t="shared" si="2"/>
        <v>18000</v>
      </c>
      <c r="B150" s="3">
        <v>18000</v>
      </c>
      <c r="C150" s="3">
        <v>9000</v>
      </c>
      <c r="D150" s="3">
        <v>9000</v>
      </c>
    </row>
    <row r="151" spans="1:4" x14ac:dyDescent="0.35">
      <c r="A151" s="5">
        <f t="shared" si="2"/>
        <v>32000</v>
      </c>
      <c r="B151" s="3">
        <v>32000</v>
      </c>
      <c r="C151" s="3">
        <v>16000</v>
      </c>
      <c r="D151" s="3">
        <v>16000</v>
      </c>
    </row>
    <row r="152" spans="1:4" x14ac:dyDescent="0.35">
      <c r="A152" s="5">
        <f t="shared" si="2"/>
        <v>15000</v>
      </c>
      <c r="B152" s="3">
        <v>15000</v>
      </c>
      <c r="C152" s="3">
        <v>7500</v>
      </c>
      <c r="D152" s="3">
        <v>7500</v>
      </c>
    </row>
    <row r="153" spans="1:4" x14ac:dyDescent="0.35">
      <c r="A153" s="5">
        <f t="shared" si="2"/>
        <v>30000</v>
      </c>
      <c r="B153" s="3">
        <v>30000</v>
      </c>
      <c r="C153" s="3">
        <v>15000</v>
      </c>
      <c r="D153" s="3">
        <v>15000</v>
      </c>
    </row>
    <row r="154" spans="1:4" x14ac:dyDescent="0.35">
      <c r="A154" s="5">
        <f t="shared" si="2"/>
        <v>19000</v>
      </c>
      <c r="B154" s="3">
        <v>19000</v>
      </c>
      <c r="C154" s="3">
        <v>9500</v>
      </c>
      <c r="D154" s="3">
        <v>9500</v>
      </c>
    </row>
    <row r="155" spans="1:4" x14ac:dyDescent="0.35">
      <c r="A155" s="5">
        <f t="shared" si="2"/>
        <v>17000</v>
      </c>
      <c r="B155" s="3">
        <v>17000</v>
      </c>
      <c r="C155" s="3">
        <v>8500</v>
      </c>
      <c r="D155" s="3">
        <v>8500</v>
      </c>
    </row>
    <row r="156" spans="1:4" x14ac:dyDescent="0.35">
      <c r="A156" s="5">
        <f t="shared" si="2"/>
        <v>40000</v>
      </c>
      <c r="B156" s="3">
        <v>40000</v>
      </c>
      <c r="C156" s="3">
        <v>20000</v>
      </c>
      <c r="D156" s="3">
        <v>20000</v>
      </c>
    </row>
    <row r="157" spans="1:4" x14ac:dyDescent="0.35">
      <c r="A157" s="5">
        <f t="shared" si="2"/>
        <v>15000</v>
      </c>
      <c r="B157" s="3">
        <v>15000</v>
      </c>
      <c r="C157" s="3">
        <v>7500</v>
      </c>
      <c r="D157" s="3">
        <v>7500</v>
      </c>
    </row>
    <row r="158" spans="1:4" x14ac:dyDescent="0.35">
      <c r="A158" s="5">
        <f t="shared" si="2"/>
        <v>30000</v>
      </c>
      <c r="B158" s="3">
        <v>30000</v>
      </c>
      <c r="C158" s="3">
        <v>15000</v>
      </c>
      <c r="D158" s="3">
        <v>15000</v>
      </c>
    </row>
    <row r="159" spans="1:4" x14ac:dyDescent="0.35">
      <c r="A159" s="5">
        <f t="shared" si="2"/>
        <v>16000</v>
      </c>
      <c r="B159" s="3">
        <v>16000</v>
      </c>
      <c r="C159" s="3">
        <v>8000</v>
      </c>
      <c r="D159" s="3">
        <v>8000</v>
      </c>
    </row>
    <row r="160" spans="1:4" x14ac:dyDescent="0.35">
      <c r="A160" s="5">
        <f t="shared" si="2"/>
        <v>18000</v>
      </c>
      <c r="B160" s="3">
        <v>18000</v>
      </c>
      <c r="C160" s="3">
        <v>9000</v>
      </c>
      <c r="D160" s="3">
        <v>9000</v>
      </c>
    </row>
    <row r="161" spans="1:4" x14ac:dyDescent="0.35">
      <c r="A161" s="5">
        <f t="shared" si="2"/>
        <v>32000</v>
      </c>
      <c r="B161" s="3">
        <v>32000</v>
      </c>
      <c r="C161" s="3">
        <v>16000</v>
      </c>
      <c r="D161" s="3">
        <v>16000</v>
      </c>
    </row>
    <row r="162" spans="1:4" x14ac:dyDescent="0.35">
      <c r="A162" s="5">
        <f t="shared" si="2"/>
        <v>15000</v>
      </c>
      <c r="B162" s="3">
        <v>15000</v>
      </c>
      <c r="C162" s="3">
        <v>7500</v>
      </c>
      <c r="D162" s="3">
        <v>7500</v>
      </c>
    </row>
    <row r="163" spans="1:4" x14ac:dyDescent="0.35">
      <c r="A163" s="5">
        <f t="shared" si="2"/>
        <v>30000</v>
      </c>
      <c r="B163" s="3">
        <v>30000</v>
      </c>
      <c r="C163" s="3">
        <v>15000</v>
      </c>
      <c r="D163" s="3">
        <v>15000</v>
      </c>
    </row>
    <row r="164" spans="1:4" x14ac:dyDescent="0.35">
      <c r="A164" s="5">
        <f t="shared" si="2"/>
        <v>19000</v>
      </c>
      <c r="B164" s="3">
        <v>19000</v>
      </c>
      <c r="C164" s="3">
        <v>9500</v>
      </c>
      <c r="D164" s="3">
        <v>9500</v>
      </c>
    </row>
    <row r="165" spans="1:4" x14ac:dyDescent="0.35">
      <c r="A165" s="5">
        <f t="shared" si="2"/>
        <v>17000</v>
      </c>
      <c r="B165" s="3">
        <v>17000</v>
      </c>
      <c r="C165" s="3">
        <v>8500</v>
      </c>
      <c r="D165" s="3">
        <v>8500</v>
      </c>
    </row>
    <row r="166" spans="1:4" x14ac:dyDescent="0.35">
      <c r="A166" s="5">
        <f t="shared" si="2"/>
        <v>40000</v>
      </c>
      <c r="B166" s="3">
        <v>40000</v>
      </c>
      <c r="C166" s="3">
        <v>20000</v>
      </c>
      <c r="D166" s="3">
        <v>20000</v>
      </c>
    </row>
    <row r="167" spans="1:4" x14ac:dyDescent="0.35">
      <c r="A167" s="5">
        <f t="shared" si="2"/>
        <v>70000</v>
      </c>
      <c r="B167" s="3">
        <v>3500000</v>
      </c>
      <c r="C167" s="3">
        <v>35000</v>
      </c>
      <c r="D167" s="3">
        <v>35000</v>
      </c>
    </row>
    <row r="168" spans="1:4" x14ac:dyDescent="0.35">
      <c r="A168" s="5">
        <f t="shared" si="2"/>
        <v>300000</v>
      </c>
      <c r="B168" s="3">
        <v>15000000</v>
      </c>
      <c r="C168" s="3">
        <v>150000</v>
      </c>
      <c r="D168" s="3">
        <v>150000</v>
      </c>
    </row>
    <row r="169" spans="1:4" x14ac:dyDescent="0.35">
      <c r="A169" s="5">
        <f t="shared" si="2"/>
        <v>250000</v>
      </c>
      <c r="B169" s="3">
        <v>25000000</v>
      </c>
      <c r="C169" s="3">
        <v>0</v>
      </c>
      <c r="D169" s="3">
        <v>250000</v>
      </c>
    </row>
    <row r="170" spans="1:4" x14ac:dyDescent="0.35">
      <c r="A170" s="5">
        <f t="shared" si="2"/>
        <v>80000</v>
      </c>
      <c r="B170" s="3">
        <v>4000000</v>
      </c>
      <c r="C170" s="3">
        <v>40000</v>
      </c>
      <c r="D170" s="3">
        <v>40000</v>
      </c>
    </row>
    <row r="171" spans="1:4" x14ac:dyDescent="0.35">
      <c r="A171" s="5">
        <f t="shared" si="2"/>
        <v>15000</v>
      </c>
      <c r="B171" s="3">
        <v>15000</v>
      </c>
      <c r="C171" s="3">
        <v>7500</v>
      </c>
      <c r="D171" s="3">
        <v>7500</v>
      </c>
    </row>
    <row r="172" spans="1:4" x14ac:dyDescent="0.35">
      <c r="A172" s="5">
        <f t="shared" si="2"/>
        <v>30000</v>
      </c>
      <c r="B172" s="3">
        <v>30000</v>
      </c>
      <c r="C172" s="3">
        <v>15000</v>
      </c>
      <c r="D172" s="3">
        <v>15000</v>
      </c>
    </row>
    <row r="173" spans="1:4" x14ac:dyDescent="0.35">
      <c r="A173" s="5">
        <f t="shared" si="2"/>
        <v>18000</v>
      </c>
      <c r="B173" s="3">
        <v>18000</v>
      </c>
      <c r="C173" s="3">
        <v>9000</v>
      </c>
      <c r="D173" s="3">
        <v>9000</v>
      </c>
    </row>
    <row r="174" spans="1:4" x14ac:dyDescent="0.35">
      <c r="A174" s="5">
        <f t="shared" si="2"/>
        <v>20000</v>
      </c>
      <c r="B174" s="3">
        <v>20000</v>
      </c>
      <c r="C174" s="3">
        <v>10000</v>
      </c>
      <c r="D174" s="3">
        <v>10000</v>
      </c>
    </row>
    <row r="175" spans="1:4" x14ac:dyDescent="0.35">
      <c r="A175" s="5">
        <f t="shared" si="2"/>
        <v>35000</v>
      </c>
      <c r="B175" s="3">
        <v>35000</v>
      </c>
      <c r="C175" s="3">
        <v>17500</v>
      </c>
      <c r="D175" s="3">
        <v>17500</v>
      </c>
    </row>
    <row r="176" spans="1:4" x14ac:dyDescent="0.35">
      <c r="A176" s="5">
        <f t="shared" si="2"/>
        <v>15000</v>
      </c>
      <c r="B176" s="3">
        <v>15000</v>
      </c>
      <c r="C176" s="3">
        <v>7500</v>
      </c>
      <c r="D176" s="3">
        <v>7500</v>
      </c>
    </row>
    <row r="177" spans="1:4" x14ac:dyDescent="0.35">
      <c r="A177" s="5">
        <f t="shared" si="2"/>
        <v>32000</v>
      </c>
      <c r="B177" s="3">
        <v>32000</v>
      </c>
      <c r="C177" s="3">
        <v>16000</v>
      </c>
      <c r="D177" s="3">
        <v>16000</v>
      </c>
    </row>
    <row r="178" spans="1:4" x14ac:dyDescent="0.35">
      <c r="A178" s="5">
        <f t="shared" si="2"/>
        <v>19000</v>
      </c>
      <c r="B178" s="3">
        <v>19000</v>
      </c>
      <c r="C178" s="3">
        <v>9500</v>
      </c>
      <c r="D178" s="3">
        <v>9500</v>
      </c>
    </row>
    <row r="179" spans="1:4" x14ac:dyDescent="0.35">
      <c r="A179" s="5">
        <f t="shared" si="2"/>
        <v>17000</v>
      </c>
      <c r="B179" s="3">
        <v>17000</v>
      </c>
      <c r="C179" s="3">
        <v>8500</v>
      </c>
      <c r="D179" s="3">
        <v>8500</v>
      </c>
    </row>
    <row r="180" spans="1:4" x14ac:dyDescent="0.35">
      <c r="A180" s="5">
        <f t="shared" si="2"/>
        <v>40000</v>
      </c>
      <c r="B180" s="3">
        <v>40000</v>
      </c>
      <c r="C180" s="3">
        <v>20000</v>
      </c>
      <c r="D180" s="3">
        <v>20000</v>
      </c>
    </row>
    <row r="181" spans="1:4" x14ac:dyDescent="0.35">
      <c r="A181" s="5">
        <f t="shared" si="2"/>
        <v>15000</v>
      </c>
      <c r="B181" s="3">
        <v>15000</v>
      </c>
      <c r="C181" s="3">
        <v>7500</v>
      </c>
      <c r="D181" s="3">
        <v>7500</v>
      </c>
    </row>
    <row r="182" spans="1:4" x14ac:dyDescent="0.35">
      <c r="A182" s="5">
        <f t="shared" si="2"/>
        <v>30000</v>
      </c>
      <c r="B182" s="3">
        <v>30000</v>
      </c>
      <c r="C182" s="3">
        <v>15000</v>
      </c>
      <c r="D182" s="3">
        <v>15000</v>
      </c>
    </row>
    <row r="183" spans="1:4" x14ac:dyDescent="0.35">
      <c r="A183" s="5">
        <f t="shared" si="2"/>
        <v>16000</v>
      </c>
      <c r="B183" s="3">
        <v>16000</v>
      </c>
      <c r="C183" s="3">
        <v>8000</v>
      </c>
      <c r="D183" s="3">
        <v>8000</v>
      </c>
    </row>
    <row r="184" spans="1:4" x14ac:dyDescent="0.35">
      <c r="A184" s="5">
        <f t="shared" si="2"/>
        <v>18000</v>
      </c>
      <c r="B184" s="3">
        <v>18000</v>
      </c>
      <c r="C184" s="3">
        <v>9000</v>
      </c>
      <c r="D184" s="3">
        <v>9000</v>
      </c>
    </row>
    <row r="185" spans="1:4" x14ac:dyDescent="0.35">
      <c r="A185" s="5">
        <f t="shared" si="2"/>
        <v>32000</v>
      </c>
      <c r="B185" s="3">
        <v>32000</v>
      </c>
      <c r="C185" s="3">
        <v>16000</v>
      </c>
      <c r="D185" s="3">
        <v>16000</v>
      </c>
    </row>
    <row r="186" spans="1:4" x14ac:dyDescent="0.35">
      <c r="A186" s="5">
        <f t="shared" si="2"/>
        <v>15000</v>
      </c>
      <c r="B186" s="3">
        <v>15000</v>
      </c>
      <c r="C186" s="3">
        <v>7500</v>
      </c>
      <c r="D186" s="3">
        <v>7500</v>
      </c>
    </row>
    <row r="187" spans="1:4" x14ac:dyDescent="0.35">
      <c r="A187" s="5">
        <f t="shared" si="2"/>
        <v>30000</v>
      </c>
      <c r="B187" s="3">
        <v>30000</v>
      </c>
      <c r="C187" s="3">
        <v>15000</v>
      </c>
      <c r="D187" s="3">
        <v>15000</v>
      </c>
    </row>
    <row r="188" spans="1:4" x14ac:dyDescent="0.35">
      <c r="A188" s="5">
        <f t="shared" si="2"/>
        <v>19000</v>
      </c>
      <c r="B188" s="3">
        <v>19000</v>
      </c>
      <c r="C188" s="3">
        <v>9500</v>
      </c>
      <c r="D188" s="3">
        <v>9500</v>
      </c>
    </row>
    <row r="189" spans="1:4" x14ac:dyDescent="0.35">
      <c r="A189" s="5">
        <f t="shared" si="2"/>
        <v>17000</v>
      </c>
      <c r="B189" s="3">
        <v>17000</v>
      </c>
      <c r="C189" s="3">
        <v>8500</v>
      </c>
      <c r="D189" s="3">
        <v>8500</v>
      </c>
    </row>
    <row r="190" spans="1:4" x14ac:dyDescent="0.35">
      <c r="A190" s="5">
        <f t="shared" si="2"/>
        <v>40000</v>
      </c>
      <c r="B190" s="3">
        <v>40000</v>
      </c>
      <c r="C190" s="3">
        <v>20000</v>
      </c>
      <c r="D190" s="3">
        <v>20000</v>
      </c>
    </row>
    <row r="191" spans="1:4" x14ac:dyDescent="0.35">
      <c r="A191" s="5">
        <f t="shared" si="2"/>
        <v>15000</v>
      </c>
      <c r="B191" s="3">
        <v>15000</v>
      </c>
      <c r="C191" s="3">
        <v>7500</v>
      </c>
      <c r="D191" s="3">
        <v>7500</v>
      </c>
    </row>
    <row r="192" spans="1:4" x14ac:dyDescent="0.35">
      <c r="A192" s="5">
        <f t="shared" si="2"/>
        <v>30000</v>
      </c>
      <c r="B192" s="3">
        <v>30000</v>
      </c>
      <c r="C192" s="3">
        <v>15000</v>
      </c>
      <c r="D192" s="3">
        <v>15000</v>
      </c>
    </row>
    <row r="193" spans="1:4" x14ac:dyDescent="0.35">
      <c r="A193" s="5">
        <f t="shared" si="2"/>
        <v>16000</v>
      </c>
      <c r="B193" s="3">
        <v>16000</v>
      </c>
      <c r="C193" s="3">
        <v>8000</v>
      </c>
      <c r="D193" s="3">
        <v>8000</v>
      </c>
    </row>
    <row r="194" spans="1:4" x14ac:dyDescent="0.35">
      <c r="A194" s="5">
        <f t="shared" ref="A194:A215" si="3">C194+D194</f>
        <v>18000</v>
      </c>
      <c r="B194" s="3">
        <v>18000</v>
      </c>
      <c r="C194" s="3">
        <v>9000</v>
      </c>
      <c r="D194" s="3">
        <v>9000</v>
      </c>
    </row>
    <row r="195" spans="1:4" x14ac:dyDescent="0.35">
      <c r="A195" s="5">
        <f t="shared" si="3"/>
        <v>35000</v>
      </c>
      <c r="B195" s="3">
        <v>35000</v>
      </c>
      <c r="C195" s="3">
        <v>17500</v>
      </c>
      <c r="D195" s="3">
        <v>17500</v>
      </c>
    </row>
    <row r="196" spans="1:4" x14ac:dyDescent="0.35">
      <c r="A196" s="5">
        <f t="shared" si="3"/>
        <v>15000</v>
      </c>
      <c r="B196" s="3">
        <v>15000</v>
      </c>
      <c r="C196" s="3">
        <v>7500</v>
      </c>
      <c r="D196" s="3">
        <v>7500</v>
      </c>
    </row>
    <row r="197" spans="1:4" x14ac:dyDescent="0.35">
      <c r="A197" s="5">
        <f t="shared" si="3"/>
        <v>30000</v>
      </c>
      <c r="B197" s="3">
        <v>30000</v>
      </c>
      <c r="C197" s="3">
        <v>15000</v>
      </c>
      <c r="D197" s="3">
        <v>15000</v>
      </c>
    </row>
    <row r="198" spans="1:4" x14ac:dyDescent="0.35">
      <c r="A198" s="5">
        <f t="shared" si="3"/>
        <v>19000</v>
      </c>
      <c r="B198" s="3">
        <v>19000</v>
      </c>
      <c r="C198" s="3">
        <v>9500</v>
      </c>
      <c r="D198" s="3">
        <v>9500</v>
      </c>
    </row>
    <row r="199" spans="1:4" x14ac:dyDescent="0.35">
      <c r="A199" s="5">
        <f t="shared" si="3"/>
        <v>17000</v>
      </c>
      <c r="B199" s="3">
        <v>17000</v>
      </c>
      <c r="C199" s="3">
        <v>8500</v>
      </c>
      <c r="D199" s="3">
        <v>8500</v>
      </c>
    </row>
    <row r="200" spans="1:4" x14ac:dyDescent="0.35">
      <c r="A200" s="5">
        <f t="shared" si="3"/>
        <v>40000</v>
      </c>
      <c r="B200" s="3">
        <v>40000</v>
      </c>
      <c r="C200" s="3">
        <v>20000</v>
      </c>
      <c r="D200" s="3">
        <v>20000</v>
      </c>
    </row>
    <row r="201" spans="1:4" x14ac:dyDescent="0.35">
      <c r="A201" s="5">
        <f t="shared" si="3"/>
        <v>15000</v>
      </c>
      <c r="B201" s="3">
        <v>15000</v>
      </c>
      <c r="C201" s="3">
        <v>7500</v>
      </c>
      <c r="D201" s="3">
        <v>7500</v>
      </c>
    </row>
    <row r="202" spans="1:4" x14ac:dyDescent="0.35">
      <c r="A202" s="5">
        <f t="shared" si="3"/>
        <v>30000</v>
      </c>
      <c r="B202" s="3">
        <v>30000</v>
      </c>
      <c r="C202" s="3">
        <v>15000</v>
      </c>
      <c r="D202" s="3">
        <v>15000</v>
      </c>
    </row>
    <row r="203" spans="1:4" x14ac:dyDescent="0.35">
      <c r="A203" s="5">
        <f t="shared" si="3"/>
        <v>16000</v>
      </c>
      <c r="B203" s="3">
        <v>16000</v>
      </c>
      <c r="C203" s="3">
        <v>8000</v>
      </c>
      <c r="D203" s="3">
        <v>8000</v>
      </c>
    </row>
    <row r="204" spans="1:4" x14ac:dyDescent="0.35">
      <c r="A204" s="5">
        <f t="shared" si="3"/>
        <v>18000</v>
      </c>
      <c r="B204" s="3">
        <v>18000</v>
      </c>
      <c r="C204" s="3">
        <v>9000</v>
      </c>
      <c r="D204" s="3">
        <v>9000</v>
      </c>
    </row>
    <row r="205" spans="1:4" x14ac:dyDescent="0.35">
      <c r="A205" s="5">
        <f t="shared" si="3"/>
        <v>32000</v>
      </c>
      <c r="B205" s="3">
        <v>32000</v>
      </c>
      <c r="C205" s="3">
        <v>16000</v>
      </c>
      <c r="D205" s="3">
        <v>16000</v>
      </c>
    </row>
    <row r="206" spans="1:4" x14ac:dyDescent="0.35">
      <c r="A206" s="5">
        <f t="shared" si="3"/>
        <v>15000</v>
      </c>
      <c r="B206" s="3">
        <v>15000</v>
      </c>
      <c r="C206" s="3">
        <v>7500</v>
      </c>
      <c r="D206" s="3">
        <v>7500</v>
      </c>
    </row>
    <row r="207" spans="1:4" x14ac:dyDescent="0.35">
      <c r="A207" s="5">
        <f t="shared" si="3"/>
        <v>30000</v>
      </c>
      <c r="B207" s="3">
        <v>30000</v>
      </c>
      <c r="C207" s="3">
        <v>15000</v>
      </c>
      <c r="D207" s="3">
        <v>15000</v>
      </c>
    </row>
    <row r="208" spans="1:4" x14ac:dyDescent="0.35">
      <c r="A208" s="5">
        <f t="shared" si="3"/>
        <v>19000</v>
      </c>
      <c r="B208" s="3">
        <v>19000</v>
      </c>
      <c r="C208" s="3">
        <v>9500</v>
      </c>
      <c r="D208" s="3">
        <v>9500</v>
      </c>
    </row>
    <row r="209" spans="1:4" x14ac:dyDescent="0.35">
      <c r="A209" s="5">
        <f t="shared" si="3"/>
        <v>17000</v>
      </c>
      <c r="B209" s="3">
        <v>17000</v>
      </c>
      <c r="C209" s="3">
        <v>8500</v>
      </c>
      <c r="D209" s="3">
        <v>8500</v>
      </c>
    </row>
    <row r="210" spans="1:4" x14ac:dyDescent="0.35">
      <c r="A210" s="5">
        <f t="shared" si="3"/>
        <v>40000</v>
      </c>
      <c r="B210" s="3">
        <v>40000</v>
      </c>
      <c r="C210" s="3">
        <v>20000</v>
      </c>
      <c r="D210" s="3">
        <v>20000</v>
      </c>
    </row>
    <row r="211" spans="1:4" x14ac:dyDescent="0.35">
      <c r="A211" s="5">
        <f t="shared" si="3"/>
        <v>15000</v>
      </c>
      <c r="B211" s="3">
        <v>15000</v>
      </c>
      <c r="C211" s="3">
        <v>7500</v>
      </c>
      <c r="D211" s="3">
        <v>7500</v>
      </c>
    </row>
    <row r="212" spans="1:4" x14ac:dyDescent="0.35">
      <c r="A212" s="5">
        <f t="shared" si="3"/>
        <v>30000</v>
      </c>
      <c r="B212" s="3">
        <v>30000</v>
      </c>
      <c r="C212" s="3">
        <v>15000</v>
      </c>
      <c r="D212" s="3">
        <v>15000</v>
      </c>
    </row>
    <row r="213" spans="1:4" x14ac:dyDescent="0.35">
      <c r="A213" s="5">
        <f t="shared" si="3"/>
        <v>16000</v>
      </c>
      <c r="B213" s="3">
        <v>16000</v>
      </c>
      <c r="C213" s="3">
        <v>8000</v>
      </c>
      <c r="D213" s="3">
        <v>8000</v>
      </c>
    </row>
    <row r="214" spans="1:4" x14ac:dyDescent="0.35">
      <c r="A214" s="5">
        <f t="shared" si="3"/>
        <v>18000</v>
      </c>
      <c r="B214" s="3">
        <v>18000</v>
      </c>
      <c r="C214" s="3">
        <v>9000</v>
      </c>
      <c r="D214" s="3">
        <v>9000</v>
      </c>
    </row>
    <row r="215" spans="1:4" x14ac:dyDescent="0.35">
      <c r="A215" s="5">
        <f t="shared" si="3"/>
        <v>32000</v>
      </c>
      <c r="B215" s="3">
        <v>32000</v>
      </c>
      <c r="C215" s="3">
        <v>16000</v>
      </c>
      <c r="D215" s="3">
        <v>16000</v>
      </c>
    </row>
    <row r="217" spans="1:4" x14ac:dyDescent="0.35">
      <c r="B217" s="5"/>
      <c r="C217" s="5"/>
      <c r="D217" s="5"/>
    </row>
    <row r="218" spans="1:4" x14ac:dyDescent="0.35">
      <c r="B218" s="5"/>
      <c r="C218" s="5"/>
      <c r="D218" s="5"/>
    </row>
    <row r="219" spans="1:4" x14ac:dyDescent="0.35">
      <c r="B219" s="6"/>
      <c r="C219" s="6"/>
      <c r="D219" s="6"/>
    </row>
    <row r="220" spans="1:4" x14ac:dyDescent="0.35">
      <c r="B220" s="6"/>
      <c r="C220" s="6"/>
      <c r="D220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937A-4376-4F10-84FB-8028440DE80B}">
  <dimension ref="A1:C25"/>
  <sheetViews>
    <sheetView topLeftCell="A35" workbookViewId="0">
      <selection activeCell="D48" sqref="D48"/>
    </sheetView>
  </sheetViews>
  <sheetFormatPr defaultRowHeight="14.5" x14ac:dyDescent="0.35"/>
  <cols>
    <col min="1" max="1" width="15.453125" bestFit="1" customWidth="1"/>
    <col min="2" max="2" width="22.81640625" bestFit="1" customWidth="1"/>
    <col min="3" max="3" width="18.81640625" bestFit="1" customWidth="1"/>
  </cols>
  <sheetData>
    <row r="1" spans="1:3" x14ac:dyDescent="0.35">
      <c r="A1" t="s">
        <v>84</v>
      </c>
      <c r="B1" t="s">
        <v>85</v>
      </c>
      <c r="C1" t="s">
        <v>86</v>
      </c>
    </row>
    <row r="2" spans="1:3" x14ac:dyDescent="0.35">
      <c r="A2" t="s">
        <v>87</v>
      </c>
      <c r="B2">
        <v>124</v>
      </c>
      <c r="C2" s="4">
        <f>124/215</f>
        <v>0.57674418604651168</v>
      </c>
    </row>
    <row r="3" spans="1:3" x14ac:dyDescent="0.35">
      <c r="A3" t="s">
        <v>88</v>
      </c>
      <c r="B3">
        <v>87</v>
      </c>
      <c r="C3" s="4">
        <f>87/215</f>
        <v>0.40465116279069768</v>
      </c>
    </row>
    <row r="4" spans="1:3" x14ac:dyDescent="0.35">
      <c r="A4" t="s">
        <v>89</v>
      </c>
      <c r="B4">
        <v>3</v>
      </c>
      <c r="C4" s="4">
        <f>Table4[[#This Row],[Frequency Distribution ]]/B5</f>
        <v>1.3953488372093023E-2</v>
      </c>
    </row>
    <row r="5" spans="1:3" x14ac:dyDescent="0.35">
      <c r="A5" t="s">
        <v>90</v>
      </c>
      <c r="B5">
        <v>215</v>
      </c>
      <c r="C5">
        <v>1</v>
      </c>
    </row>
    <row r="22" spans="1:2" x14ac:dyDescent="0.35">
      <c r="A22" t="s">
        <v>91</v>
      </c>
      <c r="B22" t="s">
        <v>92</v>
      </c>
    </row>
    <row r="23" spans="1:2" x14ac:dyDescent="0.35">
      <c r="A23" t="s">
        <v>93</v>
      </c>
      <c r="B23">
        <v>102</v>
      </c>
    </row>
    <row r="24" spans="1:2" x14ac:dyDescent="0.35">
      <c r="A24" t="s">
        <v>94</v>
      </c>
      <c r="B24">
        <v>112</v>
      </c>
    </row>
    <row r="25" spans="1:2" x14ac:dyDescent="0.35">
      <c r="A25" t="s">
        <v>95</v>
      </c>
      <c r="B25">
        <v>214</v>
      </c>
    </row>
  </sheetData>
  <phoneticPr fontId="2" type="noConversion"/>
  <pageMargins left="0.7" right="0.7" top="0.75" bottom="0.75" header="0.3" footer="0.3"/>
  <ignoredErrors>
    <ignoredError sqref="C5 C2:C3" calculatedColumn="1"/>
  </ignoredErrors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9BD9-1BA6-4313-AD8A-0977D9B34637}">
  <dimension ref="A1:J220"/>
  <sheetViews>
    <sheetView workbookViewId="0">
      <selection activeCell="F7" sqref="F7"/>
    </sheetView>
  </sheetViews>
  <sheetFormatPr defaultRowHeight="14.5" x14ac:dyDescent="0.35"/>
  <cols>
    <col min="1" max="1" width="27.26953125" bestFit="1" customWidth="1"/>
    <col min="2" max="3" width="11.81640625" bestFit="1" customWidth="1"/>
    <col min="8" max="8" width="22.54296875" bestFit="1" customWidth="1"/>
    <col min="9" max="9" width="13.81640625" bestFit="1" customWidth="1"/>
  </cols>
  <sheetData>
    <row r="1" spans="1:10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H1" s="1" t="s">
        <v>5</v>
      </c>
      <c r="I1" s="1" t="s">
        <v>10</v>
      </c>
      <c r="J1" t="s">
        <v>102</v>
      </c>
    </row>
    <row r="2" spans="1:10" x14ac:dyDescent="0.35">
      <c r="A2" t="s">
        <v>71</v>
      </c>
      <c r="B2">
        <v>1168939.2520000001</v>
      </c>
      <c r="C2">
        <v>250153000</v>
      </c>
      <c r="D2">
        <v>15000</v>
      </c>
      <c r="E2">
        <v>20000</v>
      </c>
      <c r="F2">
        <v>4713007.3202767912</v>
      </c>
      <c r="H2" s="3">
        <v>10000000</v>
      </c>
      <c r="I2" s="2">
        <v>45</v>
      </c>
      <c r="J2">
        <f>SQRT((H2-Table9[[#This Row],[median ]])^2 + (I2-$E10)^2)</f>
        <v>9980000.0000004508</v>
      </c>
    </row>
    <row r="3" spans="1:10" x14ac:dyDescent="0.35">
      <c r="A3" t="s">
        <v>103</v>
      </c>
      <c r="B3">
        <v>21408.878499999999</v>
      </c>
      <c r="C3">
        <v>4581500</v>
      </c>
      <c r="D3">
        <v>7500</v>
      </c>
      <c r="E3">
        <v>10000</v>
      </c>
      <c r="F3">
        <v>43116.798184212799</v>
      </c>
      <c r="H3" s="3">
        <v>3500000</v>
      </c>
      <c r="I3" s="2">
        <v>55</v>
      </c>
      <c r="J3">
        <f>SQRT((H3-20000)^2 + (I3-42)^2)</f>
        <v>3480000.0000242814</v>
      </c>
    </row>
    <row r="4" spans="1:10" x14ac:dyDescent="0.35">
      <c r="A4" t="s">
        <v>104</v>
      </c>
      <c r="B4">
        <v>20007.00935</v>
      </c>
      <c r="C4">
        <v>4281500</v>
      </c>
      <c r="D4">
        <v>7500</v>
      </c>
      <c r="E4">
        <v>10000</v>
      </c>
      <c r="F4">
        <v>38986.172931451401</v>
      </c>
      <c r="H4" s="3">
        <v>20000000</v>
      </c>
      <c r="I4" s="2">
        <v>60</v>
      </c>
      <c r="J4">
        <f>SQRT((H4-20000)^2 + (I4-42)^2)</f>
        <v>19980000.00000811</v>
      </c>
    </row>
    <row r="5" spans="1:10" x14ac:dyDescent="0.35">
      <c r="A5" t="s">
        <v>105</v>
      </c>
      <c r="B5" s="4">
        <v>1134.1121499999999</v>
      </c>
      <c r="C5" s="4">
        <v>242700</v>
      </c>
      <c r="D5">
        <v>1000</v>
      </c>
      <c r="E5">
        <v>1000</v>
      </c>
      <c r="F5">
        <v>242700</v>
      </c>
      <c r="H5" s="3">
        <v>15000000</v>
      </c>
      <c r="I5" s="2">
        <v>50</v>
      </c>
      <c r="J5">
        <f t="shared" ref="J5:J68" si="0">SQRT((H5-20000)^2 + (I5-42)^2)</f>
        <v>14980000.000002136</v>
      </c>
    </row>
    <row r="6" spans="1:10" x14ac:dyDescent="0.35">
      <c r="H6" s="3">
        <v>15000</v>
      </c>
      <c r="I6" s="2">
        <v>35</v>
      </c>
      <c r="J6">
        <f t="shared" si="0"/>
        <v>5000.0048999975988</v>
      </c>
    </row>
    <row r="7" spans="1:10" x14ac:dyDescent="0.35">
      <c r="H7" s="3">
        <v>30000</v>
      </c>
      <c r="I7" s="2">
        <v>42</v>
      </c>
      <c r="J7">
        <f t="shared" si="0"/>
        <v>10000</v>
      </c>
    </row>
    <row r="8" spans="1:10" x14ac:dyDescent="0.35">
      <c r="H8" s="3">
        <v>18000</v>
      </c>
      <c r="I8" s="2">
        <v>28</v>
      </c>
      <c r="J8">
        <f t="shared" si="0"/>
        <v>2000.0489993997646</v>
      </c>
    </row>
    <row r="9" spans="1:10" x14ac:dyDescent="0.35">
      <c r="H9" s="3">
        <v>40000</v>
      </c>
      <c r="I9" s="2">
        <v>50</v>
      </c>
      <c r="J9">
        <f t="shared" si="0"/>
        <v>20000.001599999938</v>
      </c>
    </row>
    <row r="10" spans="1:10" x14ac:dyDescent="0.35">
      <c r="D10" t="s">
        <v>106</v>
      </c>
      <c r="E10">
        <f>MEDIAN(I2:I215)</f>
        <v>42</v>
      </c>
      <c r="H10" s="3">
        <v>16000</v>
      </c>
      <c r="I10" s="2">
        <v>38</v>
      </c>
      <c r="J10">
        <f t="shared" si="0"/>
        <v>4000.0019999995002</v>
      </c>
    </row>
    <row r="11" spans="1:10" x14ac:dyDescent="0.35">
      <c r="H11" s="3">
        <v>12000</v>
      </c>
      <c r="I11" s="2">
        <v>30</v>
      </c>
      <c r="J11">
        <f t="shared" si="0"/>
        <v>8000.0089999949378</v>
      </c>
    </row>
    <row r="12" spans="1:10" x14ac:dyDescent="0.35">
      <c r="H12" s="3">
        <v>35000</v>
      </c>
      <c r="I12" s="2">
        <v>55</v>
      </c>
      <c r="J12">
        <f t="shared" si="0"/>
        <v>15000.005633332275</v>
      </c>
    </row>
    <row r="13" spans="1:10" x14ac:dyDescent="0.35">
      <c r="H13" s="3">
        <v>14000</v>
      </c>
      <c r="I13" s="2">
        <v>40</v>
      </c>
      <c r="J13">
        <f t="shared" si="0"/>
        <v>6000.0003333333243</v>
      </c>
    </row>
    <row r="14" spans="1:10" x14ac:dyDescent="0.35">
      <c r="H14" s="3">
        <v>32000</v>
      </c>
      <c r="I14" s="2">
        <v>50</v>
      </c>
      <c r="J14">
        <f t="shared" si="0"/>
        <v>12000.002666666371</v>
      </c>
    </row>
    <row r="15" spans="1:10" x14ac:dyDescent="0.35">
      <c r="H15" s="3">
        <v>20000</v>
      </c>
      <c r="I15" s="2">
        <v>35</v>
      </c>
      <c r="J15">
        <f t="shared" si="0"/>
        <v>7</v>
      </c>
    </row>
    <row r="16" spans="1:10" x14ac:dyDescent="0.35">
      <c r="H16" s="3">
        <v>17000</v>
      </c>
      <c r="I16" s="2">
        <v>32</v>
      </c>
      <c r="J16">
        <f t="shared" si="0"/>
        <v>3000.0166666203704</v>
      </c>
    </row>
    <row r="17" spans="8:10" x14ac:dyDescent="0.35">
      <c r="H17" s="3">
        <v>38000</v>
      </c>
      <c r="I17" s="2">
        <v>48</v>
      </c>
      <c r="J17">
        <f t="shared" si="0"/>
        <v>18000.000999999971</v>
      </c>
    </row>
    <row r="18" spans="8:10" x14ac:dyDescent="0.35">
      <c r="H18" s="3">
        <v>15000</v>
      </c>
      <c r="I18" s="2">
        <v>45</v>
      </c>
      <c r="J18">
        <f t="shared" si="0"/>
        <v>5000.0008999999191</v>
      </c>
    </row>
    <row r="19" spans="8:10" x14ac:dyDescent="0.35">
      <c r="H19" s="3">
        <v>30000</v>
      </c>
      <c r="I19" s="2">
        <v>52</v>
      </c>
      <c r="J19">
        <f t="shared" si="0"/>
        <v>10000.00499999875</v>
      </c>
    </row>
    <row r="20" spans="8:10" x14ac:dyDescent="0.35">
      <c r="H20" s="3">
        <v>16000</v>
      </c>
      <c r="I20" s="2">
        <v>28</v>
      </c>
      <c r="J20">
        <f t="shared" si="0"/>
        <v>4000.0244999249694</v>
      </c>
    </row>
    <row r="21" spans="8:10" x14ac:dyDescent="0.35">
      <c r="H21" s="3">
        <v>20000</v>
      </c>
      <c r="I21" s="2">
        <v>39</v>
      </c>
      <c r="J21">
        <f t="shared" si="0"/>
        <v>3</v>
      </c>
    </row>
    <row r="22" spans="8:10" x14ac:dyDescent="0.35">
      <c r="H22" s="3">
        <v>35000</v>
      </c>
      <c r="I22" s="2">
        <v>50</v>
      </c>
      <c r="J22">
        <f t="shared" si="0"/>
        <v>15000.002133333182</v>
      </c>
    </row>
    <row r="23" spans="8:10" x14ac:dyDescent="0.35">
      <c r="H23" s="3">
        <v>15000</v>
      </c>
      <c r="I23" s="2">
        <v>35</v>
      </c>
      <c r="J23">
        <f t="shared" si="0"/>
        <v>5000.0048999975988</v>
      </c>
    </row>
    <row r="24" spans="8:10" x14ac:dyDescent="0.35">
      <c r="H24" s="3">
        <v>32000</v>
      </c>
      <c r="I24" s="2">
        <v>42</v>
      </c>
      <c r="J24">
        <f t="shared" si="0"/>
        <v>12000</v>
      </c>
    </row>
    <row r="25" spans="8:10" x14ac:dyDescent="0.35">
      <c r="H25" s="3">
        <v>18000</v>
      </c>
      <c r="I25" s="2">
        <v>28</v>
      </c>
      <c r="J25">
        <f t="shared" si="0"/>
        <v>2000.0489993997646</v>
      </c>
    </row>
    <row r="26" spans="8:10" x14ac:dyDescent="0.35">
      <c r="H26" s="3">
        <v>20000</v>
      </c>
      <c r="I26" s="2">
        <v>35</v>
      </c>
      <c r="J26">
        <f t="shared" si="0"/>
        <v>7</v>
      </c>
    </row>
    <row r="27" spans="8:10" x14ac:dyDescent="0.35">
      <c r="H27" s="3">
        <v>40000</v>
      </c>
      <c r="I27" s="2">
        <v>50</v>
      </c>
      <c r="J27">
        <f t="shared" si="0"/>
        <v>20000.001599999938</v>
      </c>
    </row>
    <row r="28" spans="8:10" x14ac:dyDescent="0.35">
      <c r="H28" s="3">
        <v>16000</v>
      </c>
      <c r="I28" s="2">
        <v>32</v>
      </c>
      <c r="J28">
        <f t="shared" si="0"/>
        <v>4000.0124999804689</v>
      </c>
    </row>
    <row r="29" spans="8:10" x14ac:dyDescent="0.35">
      <c r="H29" s="3">
        <v>30000</v>
      </c>
      <c r="I29" s="2">
        <v>50</v>
      </c>
      <c r="J29">
        <f t="shared" si="0"/>
        <v>10000.003199999488</v>
      </c>
    </row>
    <row r="30" spans="8:10" x14ac:dyDescent="0.35">
      <c r="H30" s="3">
        <v>20000</v>
      </c>
      <c r="I30" s="2">
        <v>45</v>
      </c>
      <c r="J30">
        <f t="shared" si="0"/>
        <v>3</v>
      </c>
    </row>
    <row r="31" spans="8:10" x14ac:dyDescent="0.35">
      <c r="H31" s="3">
        <v>35000</v>
      </c>
      <c r="I31" s="2">
        <v>55</v>
      </c>
      <c r="J31">
        <f t="shared" si="0"/>
        <v>15000.005633332275</v>
      </c>
    </row>
    <row r="32" spans="8:10" x14ac:dyDescent="0.35">
      <c r="H32" s="3">
        <v>18000</v>
      </c>
      <c r="I32" s="2">
        <v>38</v>
      </c>
      <c r="J32">
        <f t="shared" si="0"/>
        <v>2000.0039999959999</v>
      </c>
    </row>
    <row r="33" spans="8:10" x14ac:dyDescent="0.35">
      <c r="H33" s="3">
        <v>15000</v>
      </c>
      <c r="I33" s="2">
        <v>45</v>
      </c>
      <c r="J33">
        <f t="shared" si="0"/>
        <v>5000.0008999999191</v>
      </c>
    </row>
    <row r="34" spans="8:10" x14ac:dyDescent="0.35">
      <c r="H34" s="3">
        <v>30000</v>
      </c>
      <c r="I34" s="2">
        <v>52</v>
      </c>
      <c r="J34">
        <f t="shared" si="0"/>
        <v>10000.00499999875</v>
      </c>
    </row>
    <row r="35" spans="8:10" x14ac:dyDescent="0.35">
      <c r="H35" s="3">
        <v>20000</v>
      </c>
      <c r="I35" s="2">
        <v>40</v>
      </c>
      <c r="J35">
        <f t="shared" si="0"/>
        <v>2</v>
      </c>
    </row>
    <row r="36" spans="8:10" x14ac:dyDescent="0.35">
      <c r="H36" s="3">
        <v>18000</v>
      </c>
      <c r="I36" s="2">
        <v>28</v>
      </c>
      <c r="J36">
        <f t="shared" si="0"/>
        <v>2000.0489993997646</v>
      </c>
    </row>
    <row r="37" spans="8:10" x14ac:dyDescent="0.35">
      <c r="H37" s="3">
        <v>35000</v>
      </c>
      <c r="I37" s="2">
        <v>55</v>
      </c>
      <c r="J37">
        <f t="shared" si="0"/>
        <v>15000.005633332275</v>
      </c>
    </row>
    <row r="38" spans="8:10" x14ac:dyDescent="0.35">
      <c r="H38" s="3">
        <v>20000</v>
      </c>
      <c r="I38" s="2">
        <v>35</v>
      </c>
      <c r="J38">
        <f t="shared" si="0"/>
        <v>7</v>
      </c>
    </row>
    <row r="39" spans="8:10" x14ac:dyDescent="0.35">
      <c r="H39" s="3">
        <v>30000</v>
      </c>
      <c r="I39" s="2">
        <v>42</v>
      </c>
      <c r="J39">
        <f t="shared" si="0"/>
        <v>10000</v>
      </c>
    </row>
    <row r="40" spans="8:10" x14ac:dyDescent="0.35">
      <c r="H40" s="3">
        <v>18000</v>
      </c>
      <c r="I40" s="2">
        <v>45</v>
      </c>
      <c r="J40">
        <f t="shared" si="0"/>
        <v>2000.0022499987344</v>
      </c>
    </row>
    <row r="41" spans="8:10" x14ac:dyDescent="0.35">
      <c r="H41" s="3">
        <v>40000</v>
      </c>
      <c r="I41" s="2">
        <v>50</v>
      </c>
      <c r="J41">
        <f t="shared" si="0"/>
        <v>20000.001599999938</v>
      </c>
    </row>
    <row r="42" spans="8:10" x14ac:dyDescent="0.35">
      <c r="H42" s="3">
        <v>16000</v>
      </c>
      <c r="I42" s="2">
        <v>28</v>
      </c>
      <c r="J42">
        <f t="shared" si="0"/>
        <v>4000.0244999249694</v>
      </c>
    </row>
    <row r="43" spans="8:10" x14ac:dyDescent="0.35">
      <c r="H43" s="3">
        <v>32000</v>
      </c>
      <c r="I43" s="2">
        <v>50</v>
      </c>
      <c r="J43">
        <f t="shared" si="0"/>
        <v>12000.002666666371</v>
      </c>
    </row>
    <row r="44" spans="8:10" x14ac:dyDescent="0.35">
      <c r="H44" s="3">
        <v>20000</v>
      </c>
      <c r="I44" s="2">
        <v>35</v>
      </c>
      <c r="J44">
        <f t="shared" si="0"/>
        <v>7</v>
      </c>
    </row>
    <row r="45" spans="8:10" x14ac:dyDescent="0.35">
      <c r="H45" s="3">
        <v>35000</v>
      </c>
      <c r="I45" s="2">
        <v>42</v>
      </c>
      <c r="J45">
        <f t="shared" si="0"/>
        <v>15000</v>
      </c>
    </row>
    <row r="46" spans="8:10" x14ac:dyDescent="0.35">
      <c r="H46" s="3">
        <v>15000</v>
      </c>
      <c r="I46" s="2">
        <v>32</v>
      </c>
      <c r="J46">
        <f t="shared" si="0"/>
        <v>5000.0099999900003</v>
      </c>
    </row>
    <row r="47" spans="8:10" x14ac:dyDescent="0.35">
      <c r="H47" s="3">
        <v>30000</v>
      </c>
      <c r="I47" s="2">
        <v>48</v>
      </c>
      <c r="J47">
        <f t="shared" si="0"/>
        <v>10000.001799999838</v>
      </c>
    </row>
    <row r="48" spans="8:10" x14ac:dyDescent="0.35">
      <c r="H48" s="3">
        <v>16000</v>
      </c>
      <c r="I48" s="2">
        <v>38</v>
      </c>
      <c r="J48">
        <f t="shared" si="0"/>
        <v>4000.0019999995002</v>
      </c>
    </row>
    <row r="49" spans="8:10" x14ac:dyDescent="0.35">
      <c r="H49" s="3">
        <v>30000</v>
      </c>
      <c r="I49" s="2">
        <v>50</v>
      </c>
      <c r="J49">
        <f t="shared" si="0"/>
        <v>10000.003199999488</v>
      </c>
    </row>
    <row r="50" spans="8:10" x14ac:dyDescent="0.35">
      <c r="H50" s="3">
        <v>18000</v>
      </c>
      <c r="I50" s="2">
        <v>28</v>
      </c>
      <c r="J50">
        <f t="shared" si="0"/>
        <v>2000.0489993997646</v>
      </c>
    </row>
    <row r="51" spans="8:10" x14ac:dyDescent="0.35">
      <c r="H51" s="3">
        <v>35000</v>
      </c>
      <c r="I51" s="2">
        <v>42</v>
      </c>
      <c r="J51">
        <f t="shared" si="0"/>
        <v>15000</v>
      </c>
    </row>
    <row r="52" spans="8:10" x14ac:dyDescent="0.35">
      <c r="H52" s="3">
        <v>16000</v>
      </c>
      <c r="I52" s="2">
        <v>35</v>
      </c>
      <c r="J52">
        <f t="shared" si="0"/>
        <v>4000.0061249953105</v>
      </c>
    </row>
    <row r="53" spans="8:10" x14ac:dyDescent="0.35">
      <c r="H53" s="3">
        <v>30000</v>
      </c>
      <c r="I53" s="2">
        <v>55</v>
      </c>
      <c r="J53">
        <f t="shared" si="0"/>
        <v>10000.00844999643</v>
      </c>
    </row>
    <row r="54" spans="8:10" x14ac:dyDescent="0.35">
      <c r="H54" s="3">
        <v>18000</v>
      </c>
      <c r="I54" s="2">
        <v>32</v>
      </c>
      <c r="J54">
        <f t="shared" si="0"/>
        <v>2000.0249998437519</v>
      </c>
    </row>
    <row r="55" spans="8:10" x14ac:dyDescent="0.35">
      <c r="H55" s="3">
        <v>30000000</v>
      </c>
      <c r="I55" s="2">
        <v>55</v>
      </c>
      <c r="J55">
        <f t="shared" si="0"/>
        <v>29980000.00000282</v>
      </c>
    </row>
    <row r="56" spans="8:10" x14ac:dyDescent="0.35">
      <c r="H56" s="3">
        <v>3000000</v>
      </c>
      <c r="I56" s="2">
        <v>45</v>
      </c>
      <c r="J56">
        <f t="shared" si="0"/>
        <v>2980000.0000015101</v>
      </c>
    </row>
    <row r="57" spans="8:10" x14ac:dyDescent="0.35">
      <c r="H57" s="3">
        <v>10000000</v>
      </c>
      <c r="I57" s="2">
        <v>60</v>
      </c>
      <c r="J57">
        <f t="shared" si="0"/>
        <v>9980000.000016233</v>
      </c>
    </row>
    <row r="58" spans="8:10" x14ac:dyDescent="0.35">
      <c r="H58" s="3">
        <v>5000000</v>
      </c>
      <c r="I58" s="2">
        <v>50</v>
      </c>
      <c r="J58">
        <f t="shared" si="0"/>
        <v>4980000.0000064261</v>
      </c>
    </row>
    <row r="59" spans="8:10" x14ac:dyDescent="0.35">
      <c r="H59" s="3">
        <v>25000000</v>
      </c>
      <c r="I59" s="2">
        <v>45</v>
      </c>
      <c r="J59">
        <f t="shared" si="0"/>
        <v>24980000.000000179</v>
      </c>
    </row>
    <row r="60" spans="8:10" x14ac:dyDescent="0.35">
      <c r="H60" s="3">
        <v>15000</v>
      </c>
      <c r="I60" s="2">
        <v>35</v>
      </c>
      <c r="J60">
        <f t="shared" si="0"/>
        <v>5000.0048999975988</v>
      </c>
    </row>
    <row r="61" spans="8:10" x14ac:dyDescent="0.35">
      <c r="H61" s="3">
        <v>30000</v>
      </c>
      <c r="I61" s="2">
        <v>42</v>
      </c>
      <c r="J61">
        <f t="shared" si="0"/>
        <v>10000</v>
      </c>
    </row>
    <row r="62" spans="8:10" x14ac:dyDescent="0.35">
      <c r="H62" s="3">
        <v>18000</v>
      </c>
      <c r="I62" s="2">
        <v>28</v>
      </c>
      <c r="J62">
        <f t="shared" si="0"/>
        <v>2000.0489993997646</v>
      </c>
    </row>
    <row r="63" spans="8:10" x14ac:dyDescent="0.35">
      <c r="H63" s="3">
        <v>40000</v>
      </c>
      <c r="I63" s="2">
        <v>50</v>
      </c>
      <c r="J63">
        <f t="shared" si="0"/>
        <v>20000.001599999938</v>
      </c>
    </row>
    <row r="64" spans="8:10" x14ac:dyDescent="0.35">
      <c r="H64" s="3">
        <v>16000</v>
      </c>
      <c r="I64" s="2">
        <v>38</v>
      </c>
      <c r="J64">
        <f t="shared" si="0"/>
        <v>4000.0019999995002</v>
      </c>
    </row>
    <row r="65" spans="8:10" x14ac:dyDescent="0.35">
      <c r="H65" s="3">
        <v>12000</v>
      </c>
      <c r="I65" s="2">
        <v>30</v>
      </c>
      <c r="J65">
        <f t="shared" si="0"/>
        <v>8000.0089999949378</v>
      </c>
    </row>
    <row r="66" spans="8:10" x14ac:dyDescent="0.35">
      <c r="H66" s="3">
        <v>35000</v>
      </c>
      <c r="I66" s="2">
        <v>55</v>
      </c>
      <c r="J66">
        <f t="shared" si="0"/>
        <v>15000.005633332275</v>
      </c>
    </row>
    <row r="67" spans="8:10" x14ac:dyDescent="0.35">
      <c r="H67" s="3">
        <v>14000</v>
      </c>
      <c r="I67" s="2">
        <v>40</v>
      </c>
      <c r="J67">
        <f t="shared" si="0"/>
        <v>6000.0003333333243</v>
      </c>
    </row>
    <row r="68" spans="8:10" x14ac:dyDescent="0.35">
      <c r="H68" s="3">
        <v>32000</v>
      </c>
      <c r="I68" s="2">
        <v>50</v>
      </c>
      <c r="J68">
        <f t="shared" si="0"/>
        <v>12000.002666666371</v>
      </c>
    </row>
    <row r="69" spans="8:10" x14ac:dyDescent="0.35">
      <c r="H69" s="3">
        <v>20000</v>
      </c>
      <c r="I69" s="2">
        <v>35</v>
      </c>
      <c r="J69">
        <f t="shared" ref="J69:J132" si="1">SQRT((H69-20000)^2 + (I69-42)^2)</f>
        <v>7</v>
      </c>
    </row>
    <row r="70" spans="8:10" x14ac:dyDescent="0.35">
      <c r="H70" s="3">
        <v>17000</v>
      </c>
      <c r="I70" s="2">
        <v>32</v>
      </c>
      <c r="J70">
        <f t="shared" si="1"/>
        <v>3000.0166666203704</v>
      </c>
    </row>
    <row r="71" spans="8:10" x14ac:dyDescent="0.35">
      <c r="H71" s="3">
        <v>38000</v>
      </c>
      <c r="I71" s="2">
        <v>48</v>
      </c>
      <c r="J71">
        <f t="shared" si="1"/>
        <v>18000.000999999971</v>
      </c>
    </row>
    <row r="72" spans="8:10" x14ac:dyDescent="0.35">
      <c r="H72" s="3">
        <v>15000</v>
      </c>
      <c r="I72" s="2">
        <v>45</v>
      </c>
      <c r="J72">
        <f t="shared" si="1"/>
        <v>5000.0008999999191</v>
      </c>
    </row>
    <row r="73" spans="8:10" x14ac:dyDescent="0.35">
      <c r="H73" s="3">
        <v>30000</v>
      </c>
      <c r="I73" s="2">
        <v>52</v>
      </c>
      <c r="J73">
        <f t="shared" si="1"/>
        <v>10000.00499999875</v>
      </c>
    </row>
    <row r="74" spans="8:10" x14ac:dyDescent="0.35">
      <c r="H74" s="3">
        <v>16000</v>
      </c>
      <c r="I74" s="2">
        <v>28</v>
      </c>
      <c r="J74">
        <f t="shared" si="1"/>
        <v>4000.0244999249694</v>
      </c>
    </row>
    <row r="75" spans="8:10" x14ac:dyDescent="0.35">
      <c r="H75" s="3">
        <v>20000</v>
      </c>
      <c r="I75" s="2">
        <v>39</v>
      </c>
      <c r="J75">
        <f t="shared" si="1"/>
        <v>3</v>
      </c>
    </row>
    <row r="76" spans="8:10" x14ac:dyDescent="0.35">
      <c r="H76" s="3">
        <v>35000</v>
      </c>
      <c r="I76" s="2">
        <v>50</v>
      </c>
      <c r="J76">
        <f t="shared" si="1"/>
        <v>15000.002133333182</v>
      </c>
    </row>
    <row r="77" spans="8:10" x14ac:dyDescent="0.35">
      <c r="H77" s="3">
        <v>15000</v>
      </c>
      <c r="I77" s="2">
        <v>35</v>
      </c>
      <c r="J77">
        <f t="shared" si="1"/>
        <v>5000.0048999975988</v>
      </c>
    </row>
    <row r="78" spans="8:10" x14ac:dyDescent="0.35">
      <c r="H78" s="3">
        <v>32000</v>
      </c>
      <c r="I78" s="2">
        <v>42</v>
      </c>
      <c r="J78">
        <f t="shared" si="1"/>
        <v>12000</v>
      </c>
    </row>
    <row r="79" spans="8:10" x14ac:dyDescent="0.35">
      <c r="H79" s="3">
        <v>18000</v>
      </c>
      <c r="I79" s="2">
        <v>28</v>
      </c>
      <c r="J79">
        <f t="shared" si="1"/>
        <v>2000.0489993997646</v>
      </c>
    </row>
    <row r="80" spans="8:10" x14ac:dyDescent="0.35">
      <c r="H80" s="3">
        <v>20000</v>
      </c>
      <c r="I80" s="2">
        <v>35</v>
      </c>
      <c r="J80">
        <f t="shared" si="1"/>
        <v>7</v>
      </c>
    </row>
    <row r="81" spans="8:10" x14ac:dyDescent="0.35">
      <c r="H81" s="3">
        <v>40000</v>
      </c>
      <c r="I81" s="2">
        <v>50</v>
      </c>
      <c r="J81">
        <f t="shared" si="1"/>
        <v>20000.001599999938</v>
      </c>
    </row>
    <row r="82" spans="8:10" x14ac:dyDescent="0.35">
      <c r="H82" s="3">
        <v>16000</v>
      </c>
      <c r="I82" s="2">
        <v>32</v>
      </c>
      <c r="J82">
        <f t="shared" si="1"/>
        <v>4000.0124999804689</v>
      </c>
    </row>
    <row r="83" spans="8:10" x14ac:dyDescent="0.35">
      <c r="H83" s="3">
        <v>30000</v>
      </c>
      <c r="I83" s="2">
        <v>50</v>
      </c>
      <c r="J83">
        <f t="shared" si="1"/>
        <v>10000.003199999488</v>
      </c>
    </row>
    <row r="84" spans="8:10" x14ac:dyDescent="0.35">
      <c r="H84" s="3">
        <v>20000</v>
      </c>
      <c r="I84" s="2">
        <v>45</v>
      </c>
      <c r="J84">
        <f t="shared" si="1"/>
        <v>3</v>
      </c>
    </row>
    <row r="85" spans="8:10" x14ac:dyDescent="0.35">
      <c r="H85" s="3">
        <v>35000</v>
      </c>
      <c r="I85" s="2">
        <v>55</v>
      </c>
      <c r="J85">
        <f t="shared" si="1"/>
        <v>15000.005633332275</v>
      </c>
    </row>
    <row r="86" spans="8:10" x14ac:dyDescent="0.35">
      <c r="H86" s="3">
        <v>18000</v>
      </c>
      <c r="I86" s="2">
        <v>38</v>
      </c>
      <c r="J86">
        <f t="shared" si="1"/>
        <v>2000.0039999959999</v>
      </c>
    </row>
    <row r="87" spans="8:10" x14ac:dyDescent="0.35">
      <c r="H87" s="3">
        <v>15000</v>
      </c>
      <c r="I87" s="2">
        <v>45</v>
      </c>
      <c r="J87">
        <f t="shared" si="1"/>
        <v>5000.0008999999191</v>
      </c>
    </row>
    <row r="88" spans="8:10" x14ac:dyDescent="0.35">
      <c r="H88" s="3">
        <v>30000</v>
      </c>
      <c r="I88" s="2">
        <v>52</v>
      </c>
      <c r="J88">
        <f t="shared" si="1"/>
        <v>10000.00499999875</v>
      </c>
    </row>
    <row r="89" spans="8:10" x14ac:dyDescent="0.35">
      <c r="H89" s="3">
        <v>16000</v>
      </c>
      <c r="I89" s="2">
        <v>42</v>
      </c>
      <c r="J89">
        <f t="shared" si="1"/>
        <v>4000</v>
      </c>
    </row>
    <row r="90" spans="8:10" x14ac:dyDescent="0.35">
      <c r="H90" s="3">
        <v>20000</v>
      </c>
      <c r="I90" s="2">
        <v>35</v>
      </c>
      <c r="J90">
        <f t="shared" si="1"/>
        <v>7</v>
      </c>
    </row>
    <row r="91" spans="8:10" x14ac:dyDescent="0.35">
      <c r="H91" s="3">
        <v>40000</v>
      </c>
      <c r="I91" s="2">
        <v>48</v>
      </c>
      <c r="J91">
        <f t="shared" si="1"/>
        <v>20000.000899999981</v>
      </c>
    </row>
    <row r="92" spans="8:10" x14ac:dyDescent="0.35">
      <c r="H92" s="3">
        <v>15000</v>
      </c>
      <c r="I92" s="2">
        <v>42</v>
      </c>
      <c r="J92">
        <f t="shared" si="1"/>
        <v>5000</v>
      </c>
    </row>
    <row r="93" spans="8:10" x14ac:dyDescent="0.35">
      <c r="H93" s="3">
        <v>32000</v>
      </c>
      <c r="I93" s="2">
        <v>50</v>
      </c>
      <c r="J93">
        <f t="shared" si="1"/>
        <v>12000.002666666371</v>
      </c>
    </row>
    <row r="94" spans="8:10" x14ac:dyDescent="0.35">
      <c r="H94" s="3">
        <v>18000</v>
      </c>
      <c r="I94" s="2">
        <v>28</v>
      </c>
      <c r="J94">
        <f t="shared" si="1"/>
        <v>2000.0489993997646</v>
      </c>
    </row>
    <row r="95" spans="8:10" x14ac:dyDescent="0.35">
      <c r="H95" s="3">
        <v>35000</v>
      </c>
      <c r="I95" s="2">
        <v>55</v>
      </c>
      <c r="J95">
        <f t="shared" si="1"/>
        <v>15000.005633332275</v>
      </c>
    </row>
    <row r="96" spans="8:10" x14ac:dyDescent="0.35">
      <c r="H96" s="3">
        <v>16000</v>
      </c>
      <c r="I96" s="2">
        <v>32</v>
      </c>
      <c r="J96">
        <f t="shared" si="1"/>
        <v>4000.0124999804689</v>
      </c>
    </row>
    <row r="97" spans="8:10" x14ac:dyDescent="0.35">
      <c r="H97" s="3">
        <v>15000</v>
      </c>
      <c r="I97" s="2">
        <v>28</v>
      </c>
      <c r="J97">
        <f t="shared" si="1"/>
        <v>5000.0195999615844</v>
      </c>
    </row>
    <row r="98" spans="8:10" x14ac:dyDescent="0.35">
      <c r="H98" s="3">
        <v>30000</v>
      </c>
      <c r="I98" s="2">
        <v>42</v>
      </c>
      <c r="J98">
        <f t="shared" si="1"/>
        <v>10000</v>
      </c>
    </row>
    <row r="99" spans="8:10" x14ac:dyDescent="0.35">
      <c r="H99" s="3">
        <v>20000</v>
      </c>
      <c r="I99" s="2">
        <v>45</v>
      </c>
      <c r="J99">
        <f t="shared" si="1"/>
        <v>3</v>
      </c>
    </row>
    <row r="100" spans="8:10" x14ac:dyDescent="0.35">
      <c r="H100" s="3">
        <v>16000</v>
      </c>
      <c r="I100" s="2">
        <v>38</v>
      </c>
      <c r="J100">
        <f t="shared" si="1"/>
        <v>4000.0019999995002</v>
      </c>
    </row>
    <row r="101" spans="8:10" x14ac:dyDescent="0.35">
      <c r="H101" s="3">
        <v>35000</v>
      </c>
      <c r="I101" s="2">
        <v>50</v>
      </c>
      <c r="J101">
        <f t="shared" si="1"/>
        <v>15000.002133333182</v>
      </c>
    </row>
    <row r="102" spans="8:10" x14ac:dyDescent="0.35">
      <c r="H102" s="3">
        <v>15000</v>
      </c>
      <c r="I102" s="2">
        <v>35</v>
      </c>
      <c r="J102">
        <f t="shared" si="1"/>
        <v>5000.0048999975988</v>
      </c>
    </row>
    <row r="103" spans="8:10" x14ac:dyDescent="0.35">
      <c r="H103" s="3">
        <v>30000</v>
      </c>
      <c r="I103" s="2">
        <v>42</v>
      </c>
      <c r="J103">
        <f t="shared" si="1"/>
        <v>10000</v>
      </c>
    </row>
    <row r="104" spans="8:10" x14ac:dyDescent="0.35">
      <c r="H104" s="3">
        <v>18000</v>
      </c>
      <c r="I104" s="2">
        <v>28</v>
      </c>
      <c r="J104">
        <f t="shared" si="1"/>
        <v>2000.0489993997646</v>
      </c>
    </row>
    <row r="105" spans="8:10" x14ac:dyDescent="0.35">
      <c r="H105" s="3">
        <v>40000</v>
      </c>
      <c r="I105" s="2">
        <v>55</v>
      </c>
      <c r="J105">
        <f t="shared" si="1"/>
        <v>20000.004224999553</v>
      </c>
    </row>
    <row r="106" spans="8:10" x14ac:dyDescent="0.35">
      <c r="H106" s="3">
        <v>17000</v>
      </c>
      <c r="I106" s="2">
        <v>45</v>
      </c>
      <c r="J106">
        <f t="shared" si="1"/>
        <v>3000.0014999996251</v>
      </c>
    </row>
    <row r="107" spans="8:10" x14ac:dyDescent="0.35">
      <c r="H107" s="3">
        <v>15000</v>
      </c>
      <c r="I107" s="2">
        <v>32</v>
      </c>
      <c r="J107">
        <f t="shared" si="1"/>
        <v>5000.0099999900003</v>
      </c>
    </row>
    <row r="108" spans="8:10" x14ac:dyDescent="0.35">
      <c r="H108" s="3">
        <v>35000</v>
      </c>
      <c r="I108" s="2">
        <v>55</v>
      </c>
      <c r="J108">
        <f t="shared" si="1"/>
        <v>15000.005633332275</v>
      </c>
    </row>
    <row r="109" spans="8:10" x14ac:dyDescent="0.35">
      <c r="H109" s="3">
        <v>20000</v>
      </c>
      <c r="I109" s="2">
        <v>30</v>
      </c>
      <c r="J109">
        <f t="shared" si="1"/>
        <v>12</v>
      </c>
    </row>
    <row r="110" spans="8:10" x14ac:dyDescent="0.35">
      <c r="H110" s="3">
        <v>38000</v>
      </c>
      <c r="I110" s="2">
        <v>48</v>
      </c>
      <c r="J110">
        <f t="shared" si="1"/>
        <v>18000.000999999971</v>
      </c>
    </row>
    <row r="111" spans="8:10" x14ac:dyDescent="0.35">
      <c r="H111" s="3">
        <v>16000</v>
      </c>
      <c r="I111" s="2">
        <v>39</v>
      </c>
      <c r="J111">
        <f t="shared" si="1"/>
        <v>4000.001124999842</v>
      </c>
    </row>
    <row r="112" spans="8:10" x14ac:dyDescent="0.35">
      <c r="H112" s="3">
        <v>15000000</v>
      </c>
      <c r="I112" s="2">
        <v>45</v>
      </c>
      <c r="J112">
        <f t="shared" si="1"/>
        <v>14980000.0000003</v>
      </c>
    </row>
    <row r="113" spans="8:10" x14ac:dyDescent="0.35">
      <c r="H113" s="3">
        <v>3500000</v>
      </c>
      <c r="I113" s="2">
        <v>52</v>
      </c>
      <c r="J113">
        <f t="shared" si="1"/>
        <v>3480000.000014368</v>
      </c>
    </row>
    <row r="114" spans="8:10" x14ac:dyDescent="0.35">
      <c r="H114" s="3">
        <v>30000000</v>
      </c>
      <c r="I114" s="2">
        <v>38</v>
      </c>
      <c r="J114">
        <f t="shared" si="1"/>
        <v>29980000.000000268</v>
      </c>
    </row>
    <row r="115" spans="8:10" x14ac:dyDescent="0.35">
      <c r="H115" s="3">
        <v>25000000</v>
      </c>
      <c r="I115" s="2">
        <v>40</v>
      </c>
      <c r="J115">
        <f t="shared" si="1"/>
        <v>24980000.000000078</v>
      </c>
    </row>
    <row r="116" spans="8:10" x14ac:dyDescent="0.35">
      <c r="H116" s="3">
        <v>3000000</v>
      </c>
      <c r="I116" s="2">
        <v>55</v>
      </c>
      <c r="J116">
        <f t="shared" si="1"/>
        <v>2980000.0000283555</v>
      </c>
    </row>
    <row r="117" spans="8:10" x14ac:dyDescent="0.35">
      <c r="H117" s="3">
        <v>15000</v>
      </c>
      <c r="I117" s="2">
        <v>35</v>
      </c>
      <c r="J117">
        <f t="shared" si="1"/>
        <v>5000.0048999975988</v>
      </c>
    </row>
    <row r="118" spans="8:10" x14ac:dyDescent="0.35">
      <c r="H118" s="3">
        <v>30000</v>
      </c>
      <c r="I118" s="2">
        <v>42</v>
      </c>
      <c r="J118">
        <f t="shared" si="1"/>
        <v>10000</v>
      </c>
    </row>
    <row r="119" spans="8:10" x14ac:dyDescent="0.35">
      <c r="H119" s="3">
        <v>18000</v>
      </c>
      <c r="I119" s="2">
        <v>50</v>
      </c>
      <c r="J119">
        <f t="shared" si="1"/>
        <v>2000.0159999360005</v>
      </c>
    </row>
    <row r="120" spans="8:10" x14ac:dyDescent="0.35">
      <c r="H120" s="3">
        <v>20000</v>
      </c>
      <c r="I120" s="2">
        <v>30</v>
      </c>
      <c r="J120">
        <f t="shared" si="1"/>
        <v>12</v>
      </c>
    </row>
    <row r="121" spans="8:10" x14ac:dyDescent="0.35">
      <c r="H121" s="3">
        <v>35000</v>
      </c>
      <c r="I121" s="2">
        <v>40</v>
      </c>
      <c r="J121">
        <f t="shared" si="1"/>
        <v>15000.000133333333</v>
      </c>
    </row>
    <row r="122" spans="8:10" x14ac:dyDescent="0.35">
      <c r="H122" s="3">
        <v>15000</v>
      </c>
      <c r="I122" s="2">
        <v>38</v>
      </c>
      <c r="J122">
        <f t="shared" si="1"/>
        <v>5000.001599999744</v>
      </c>
    </row>
    <row r="123" spans="8:10" x14ac:dyDescent="0.35">
      <c r="H123" s="3">
        <v>32000</v>
      </c>
      <c r="I123" s="2">
        <v>45</v>
      </c>
      <c r="J123">
        <f t="shared" si="1"/>
        <v>12000.000374999994</v>
      </c>
    </row>
    <row r="124" spans="8:10" x14ac:dyDescent="0.35">
      <c r="H124" s="3">
        <v>19000</v>
      </c>
      <c r="I124" s="2">
        <v>28</v>
      </c>
      <c r="J124">
        <f t="shared" si="1"/>
        <v>1000.0979951984706</v>
      </c>
    </row>
    <row r="125" spans="8:10" x14ac:dyDescent="0.35">
      <c r="H125" s="3">
        <v>17000</v>
      </c>
      <c r="I125" s="2">
        <v>32</v>
      </c>
      <c r="J125">
        <f t="shared" si="1"/>
        <v>3000.0166666203704</v>
      </c>
    </row>
    <row r="126" spans="8:10" x14ac:dyDescent="0.35">
      <c r="H126" s="3">
        <v>40000</v>
      </c>
      <c r="I126" s="2">
        <v>50</v>
      </c>
      <c r="J126">
        <f t="shared" si="1"/>
        <v>20000.001599999938</v>
      </c>
    </row>
    <row r="127" spans="8:10" x14ac:dyDescent="0.35">
      <c r="H127" s="3">
        <v>15000</v>
      </c>
      <c r="I127" s="2">
        <v>35</v>
      </c>
      <c r="J127">
        <f t="shared" si="1"/>
        <v>5000.0048999975988</v>
      </c>
    </row>
    <row r="128" spans="8:10" x14ac:dyDescent="0.35">
      <c r="H128" s="3">
        <v>30000</v>
      </c>
      <c r="I128" s="2">
        <v>42</v>
      </c>
      <c r="J128">
        <f t="shared" si="1"/>
        <v>10000</v>
      </c>
    </row>
    <row r="129" spans="8:10" x14ac:dyDescent="0.35">
      <c r="H129" s="3">
        <v>16000</v>
      </c>
      <c r="I129" s="2">
        <v>50</v>
      </c>
      <c r="J129">
        <f t="shared" si="1"/>
        <v>4000.0079999919999</v>
      </c>
    </row>
    <row r="130" spans="8:10" x14ac:dyDescent="0.35">
      <c r="H130" s="3">
        <v>18000</v>
      </c>
      <c r="I130" s="2">
        <v>30</v>
      </c>
      <c r="J130">
        <f t="shared" si="1"/>
        <v>2000.0359996760058</v>
      </c>
    </row>
    <row r="131" spans="8:10" x14ac:dyDescent="0.35">
      <c r="H131" s="3">
        <v>32000</v>
      </c>
      <c r="I131" s="2">
        <v>40</v>
      </c>
      <c r="J131">
        <f t="shared" si="1"/>
        <v>12000.000166666665</v>
      </c>
    </row>
    <row r="132" spans="8:10" x14ac:dyDescent="0.35">
      <c r="H132" s="3">
        <v>15000</v>
      </c>
      <c r="I132" s="2">
        <v>38</v>
      </c>
      <c r="J132">
        <f t="shared" si="1"/>
        <v>5000.001599999744</v>
      </c>
    </row>
    <row r="133" spans="8:10" x14ac:dyDescent="0.35">
      <c r="H133" s="3">
        <v>30000</v>
      </c>
      <c r="I133" s="2">
        <v>45</v>
      </c>
      <c r="J133">
        <f t="shared" ref="J133:J196" si="2">SQRT((H133-20000)^2 + (I133-42)^2)</f>
        <v>10000.00044999999</v>
      </c>
    </row>
    <row r="134" spans="8:10" x14ac:dyDescent="0.35">
      <c r="H134" s="3">
        <v>19000</v>
      </c>
      <c r="I134" s="2">
        <v>28</v>
      </c>
      <c r="J134">
        <f t="shared" si="2"/>
        <v>1000.0979951984706</v>
      </c>
    </row>
    <row r="135" spans="8:10" x14ac:dyDescent="0.35">
      <c r="H135" s="3">
        <v>17000</v>
      </c>
      <c r="I135" s="2">
        <v>32</v>
      </c>
      <c r="J135">
        <f t="shared" si="2"/>
        <v>3000.0166666203704</v>
      </c>
    </row>
    <row r="136" spans="8:10" x14ac:dyDescent="0.35">
      <c r="H136" s="3">
        <v>40000</v>
      </c>
      <c r="I136" s="2">
        <v>50</v>
      </c>
      <c r="J136">
        <f t="shared" si="2"/>
        <v>20000.001599999938</v>
      </c>
    </row>
    <row r="137" spans="8:10" x14ac:dyDescent="0.35">
      <c r="H137" s="3">
        <v>15000</v>
      </c>
      <c r="I137" s="2">
        <v>35</v>
      </c>
      <c r="J137">
        <f t="shared" si="2"/>
        <v>5000.0048999975988</v>
      </c>
    </row>
    <row r="138" spans="8:10" x14ac:dyDescent="0.35">
      <c r="H138" s="3">
        <v>30000</v>
      </c>
      <c r="I138" s="2">
        <v>42</v>
      </c>
      <c r="J138">
        <f t="shared" si="2"/>
        <v>10000</v>
      </c>
    </row>
    <row r="139" spans="8:10" x14ac:dyDescent="0.35">
      <c r="H139" s="3">
        <v>16000</v>
      </c>
      <c r="I139" s="2">
        <v>50</v>
      </c>
      <c r="J139">
        <f t="shared" si="2"/>
        <v>4000.0079999919999</v>
      </c>
    </row>
    <row r="140" spans="8:10" x14ac:dyDescent="0.35">
      <c r="H140" s="3">
        <v>18000</v>
      </c>
      <c r="I140" s="2">
        <v>30</v>
      </c>
      <c r="J140">
        <f t="shared" si="2"/>
        <v>2000.0359996760058</v>
      </c>
    </row>
    <row r="141" spans="8:10" x14ac:dyDescent="0.35">
      <c r="H141" s="3">
        <v>35000</v>
      </c>
      <c r="I141" s="2">
        <v>40</v>
      </c>
      <c r="J141">
        <f t="shared" si="2"/>
        <v>15000.000133333333</v>
      </c>
    </row>
    <row r="142" spans="8:10" x14ac:dyDescent="0.35">
      <c r="H142" s="3">
        <v>15000</v>
      </c>
      <c r="I142" s="2">
        <v>38</v>
      </c>
      <c r="J142">
        <f t="shared" si="2"/>
        <v>5000.001599999744</v>
      </c>
    </row>
    <row r="143" spans="8:10" x14ac:dyDescent="0.35">
      <c r="H143" s="3">
        <v>32000</v>
      </c>
      <c r="I143" s="2">
        <v>45</v>
      </c>
      <c r="J143">
        <f t="shared" si="2"/>
        <v>12000.000374999994</v>
      </c>
    </row>
    <row r="144" spans="8:10" x14ac:dyDescent="0.35">
      <c r="H144" s="3">
        <v>19000</v>
      </c>
      <c r="I144" s="2">
        <v>28</v>
      </c>
      <c r="J144">
        <f t="shared" si="2"/>
        <v>1000.0979951984706</v>
      </c>
    </row>
    <row r="145" spans="8:10" x14ac:dyDescent="0.35">
      <c r="H145" s="3">
        <v>17000</v>
      </c>
      <c r="I145" s="2">
        <v>32</v>
      </c>
      <c r="J145">
        <f t="shared" si="2"/>
        <v>3000.0166666203704</v>
      </c>
    </row>
    <row r="146" spans="8:10" x14ac:dyDescent="0.35">
      <c r="H146" s="3">
        <v>40000</v>
      </c>
      <c r="I146" s="2">
        <v>50</v>
      </c>
      <c r="J146">
        <f t="shared" si="2"/>
        <v>20000.001599999938</v>
      </c>
    </row>
    <row r="147" spans="8:10" x14ac:dyDescent="0.35">
      <c r="H147" s="3">
        <v>15000</v>
      </c>
      <c r="I147" s="2">
        <v>35</v>
      </c>
      <c r="J147">
        <f t="shared" si="2"/>
        <v>5000.0048999975988</v>
      </c>
    </row>
    <row r="148" spans="8:10" x14ac:dyDescent="0.35">
      <c r="H148" s="3">
        <v>30000</v>
      </c>
      <c r="I148" s="2">
        <v>42</v>
      </c>
      <c r="J148">
        <f t="shared" si="2"/>
        <v>10000</v>
      </c>
    </row>
    <row r="149" spans="8:10" x14ac:dyDescent="0.35">
      <c r="H149" s="3">
        <v>16000</v>
      </c>
      <c r="I149" s="2">
        <v>50</v>
      </c>
      <c r="J149">
        <f t="shared" si="2"/>
        <v>4000.0079999919999</v>
      </c>
    </row>
    <row r="150" spans="8:10" x14ac:dyDescent="0.35">
      <c r="H150" s="3">
        <v>18000</v>
      </c>
      <c r="I150" s="2">
        <v>30</v>
      </c>
      <c r="J150">
        <f t="shared" si="2"/>
        <v>2000.0359996760058</v>
      </c>
    </row>
    <row r="151" spans="8:10" x14ac:dyDescent="0.35">
      <c r="H151" s="3">
        <v>32000</v>
      </c>
      <c r="I151" s="2">
        <v>40</v>
      </c>
      <c r="J151">
        <f t="shared" si="2"/>
        <v>12000.000166666665</v>
      </c>
    </row>
    <row r="152" spans="8:10" x14ac:dyDescent="0.35">
      <c r="H152" s="3">
        <v>15000</v>
      </c>
      <c r="I152" s="2">
        <v>38</v>
      </c>
      <c r="J152">
        <f t="shared" si="2"/>
        <v>5000.001599999744</v>
      </c>
    </row>
    <row r="153" spans="8:10" x14ac:dyDescent="0.35">
      <c r="H153" s="3">
        <v>30000</v>
      </c>
      <c r="I153" s="2">
        <v>45</v>
      </c>
      <c r="J153">
        <f t="shared" si="2"/>
        <v>10000.00044999999</v>
      </c>
    </row>
    <row r="154" spans="8:10" x14ac:dyDescent="0.35">
      <c r="H154" s="3">
        <v>19000</v>
      </c>
      <c r="I154" s="2">
        <v>28</v>
      </c>
      <c r="J154">
        <f t="shared" si="2"/>
        <v>1000.0979951984706</v>
      </c>
    </row>
    <row r="155" spans="8:10" x14ac:dyDescent="0.35">
      <c r="H155" s="3">
        <v>17000</v>
      </c>
      <c r="I155" s="2">
        <v>32</v>
      </c>
      <c r="J155">
        <f t="shared" si="2"/>
        <v>3000.0166666203704</v>
      </c>
    </row>
    <row r="156" spans="8:10" x14ac:dyDescent="0.35">
      <c r="H156" s="3">
        <v>40000</v>
      </c>
      <c r="I156" s="2">
        <v>50</v>
      </c>
      <c r="J156">
        <f t="shared" si="2"/>
        <v>20000.001599999938</v>
      </c>
    </row>
    <row r="157" spans="8:10" x14ac:dyDescent="0.35">
      <c r="H157" s="3">
        <v>15000</v>
      </c>
      <c r="I157" s="2">
        <v>35</v>
      </c>
      <c r="J157">
        <f t="shared" si="2"/>
        <v>5000.0048999975988</v>
      </c>
    </row>
    <row r="158" spans="8:10" x14ac:dyDescent="0.35">
      <c r="H158" s="3">
        <v>30000</v>
      </c>
      <c r="I158" s="2">
        <v>42</v>
      </c>
      <c r="J158">
        <f t="shared" si="2"/>
        <v>10000</v>
      </c>
    </row>
    <row r="159" spans="8:10" x14ac:dyDescent="0.35">
      <c r="H159" s="3">
        <v>16000</v>
      </c>
      <c r="I159" s="2">
        <v>50</v>
      </c>
      <c r="J159">
        <f t="shared" si="2"/>
        <v>4000.0079999919999</v>
      </c>
    </row>
    <row r="160" spans="8:10" x14ac:dyDescent="0.35">
      <c r="H160" s="3">
        <v>18000</v>
      </c>
      <c r="I160" s="2">
        <v>30</v>
      </c>
      <c r="J160">
        <f t="shared" si="2"/>
        <v>2000.0359996760058</v>
      </c>
    </row>
    <row r="161" spans="8:10" x14ac:dyDescent="0.35">
      <c r="H161" s="3">
        <v>32000</v>
      </c>
      <c r="I161" s="2">
        <v>40</v>
      </c>
      <c r="J161">
        <f t="shared" si="2"/>
        <v>12000.000166666665</v>
      </c>
    </row>
    <row r="162" spans="8:10" x14ac:dyDescent="0.35">
      <c r="H162" s="3">
        <v>15000</v>
      </c>
      <c r="I162" s="2">
        <v>38</v>
      </c>
      <c r="J162">
        <f t="shared" si="2"/>
        <v>5000.001599999744</v>
      </c>
    </row>
    <row r="163" spans="8:10" x14ac:dyDescent="0.35">
      <c r="H163" s="3">
        <v>30000</v>
      </c>
      <c r="I163" s="2">
        <v>45</v>
      </c>
      <c r="J163">
        <f t="shared" si="2"/>
        <v>10000.00044999999</v>
      </c>
    </row>
    <row r="164" spans="8:10" x14ac:dyDescent="0.35">
      <c r="H164" s="3">
        <v>19000</v>
      </c>
      <c r="I164" s="2">
        <v>28</v>
      </c>
      <c r="J164">
        <f t="shared" si="2"/>
        <v>1000.0979951984706</v>
      </c>
    </row>
    <row r="165" spans="8:10" x14ac:dyDescent="0.35">
      <c r="H165" s="3">
        <v>17000</v>
      </c>
      <c r="I165" s="2">
        <v>32</v>
      </c>
      <c r="J165">
        <f t="shared" si="2"/>
        <v>3000.0166666203704</v>
      </c>
    </row>
    <row r="166" spans="8:10" x14ac:dyDescent="0.35">
      <c r="H166" s="3">
        <v>40000</v>
      </c>
      <c r="I166" s="2">
        <v>50</v>
      </c>
      <c r="J166">
        <f t="shared" si="2"/>
        <v>20000.001599999938</v>
      </c>
    </row>
    <row r="167" spans="8:10" x14ac:dyDescent="0.35">
      <c r="H167" s="3">
        <v>3500000</v>
      </c>
      <c r="I167" s="2">
        <v>45</v>
      </c>
      <c r="J167">
        <f t="shared" si="2"/>
        <v>3480000.0000012931</v>
      </c>
    </row>
    <row r="168" spans="8:10" x14ac:dyDescent="0.35">
      <c r="H168" s="3">
        <v>15000000</v>
      </c>
      <c r="I168" s="2">
        <v>55</v>
      </c>
      <c r="J168">
        <f t="shared" si="2"/>
        <v>14980000.00000564</v>
      </c>
    </row>
    <row r="169" spans="8:10" x14ac:dyDescent="0.35">
      <c r="H169" s="3">
        <v>25000000</v>
      </c>
      <c r="I169" s="2">
        <v>60</v>
      </c>
      <c r="J169">
        <f t="shared" si="2"/>
        <v>24980000.000006486</v>
      </c>
    </row>
    <row r="170" spans="8:10" x14ac:dyDescent="0.35">
      <c r="H170" s="3">
        <v>4000000</v>
      </c>
      <c r="I170" s="2">
        <v>50</v>
      </c>
      <c r="J170">
        <f t="shared" si="2"/>
        <v>3980000.0000080401</v>
      </c>
    </row>
    <row r="171" spans="8:10" x14ac:dyDescent="0.35">
      <c r="H171" s="3">
        <v>15000</v>
      </c>
      <c r="I171" s="2">
        <v>35</v>
      </c>
      <c r="J171">
        <f t="shared" si="2"/>
        <v>5000.0048999975988</v>
      </c>
    </row>
    <row r="172" spans="8:10" x14ac:dyDescent="0.35">
      <c r="H172" s="3">
        <v>30000</v>
      </c>
      <c r="I172" s="2">
        <v>42</v>
      </c>
      <c r="J172">
        <f t="shared" si="2"/>
        <v>10000</v>
      </c>
    </row>
    <row r="173" spans="8:10" x14ac:dyDescent="0.35">
      <c r="H173" s="3">
        <v>18000</v>
      </c>
      <c r="I173" s="2">
        <v>50</v>
      </c>
      <c r="J173">
        <f t="shared" si="2"/>
        <v>2000.0159999360005</v>
      </c>
    </row>
    <row r="174" spans="8:10" x14ac:dyDescent="0.35">
      <c r="H174" s="3">
        <v>20000</v>
      </c>
      <c r="I174" s="2">
        <v>30</v>
      </c>
      <c r="J174">
        <f t="shared" si="2"/>
        <v>12</v>
      </c>
    </row>
    <row r="175" spans="8:10" x14ac:dyDescent="0.35">
      <c r="H175" s="3">
        <v>35000</v>
      </c>
      <c r="I175" s="2">
        <v>40</v>
      </c>
      <c r="J175">
        <f t="shared" si="2"/>
        <v>15000.000133333333</v>
      </c>
    </row>
    <row r="176" spans="8:10" x14ac:dyDescent="0.35">
      <c r="H176" s="3">
        <v>15000</v>
      </c>
      <c r="I176" s="2">
        <v>38</v>
      </c>
      <c r="J176">
        <f t="shared" si="2"/>
        <v>5000.001599999744</v>
      </c>
    </row>
    <row r="177" spans="8:10" x14ac:dyDescent="0.35">
      <c r="H177" s="3">
        <v>32000</v>
      </c>
      <c r="I177" s="2">
        <v>45</v>
      </c>
      <c r="J177">
        <f t="shared" si="2"/>
        <v>12000.000374999994</v>
      </c>
    </row>
    <row r="178" spans="8:10" x14ac:dyDescent="0.35">
      <c r="H178" s="3">
        <v>19000</v>
      </c>
      <c r="I178" s="2">
        <v>28</v>
      </c>
      <c r="J178">
        <f t="shared" si="2"/>
        <v>1000.0979951984706</v>
      </c>
    </row>
    <row r="179" spans="8:10" x14ac:dyDescent="0.35">
      <c r="H179" s="3">
        <v>17000</v>
      </c>
      <c r="I179" s="2">
        <v>32</v>
      </c>
      <c r="J179">
        <f t="shared" si="2"/>
        <v>3000.0166666203704</v>
      </c>
    </row>
    <row r="180" spans="8:10" x14ac:dyDescent="0.35">
      <c r="H180" s="3">
        <v>40000</v>
      </c>
      <c r="I180" s="2">
        <v>50</v>
      </c>
      <c r="J180">
        <f t="shared" si="2"/>
        <v>20000.001599999938</v>
      </c>
    </row>
    <row r="181" spans="8:10" x14ac:dyDescent="0.35">
      <c r="H181" s="3">
        <v>15000</v>
      </c>
      <c r="I181" s="2">
        <v>35</v>
      </c>
      <c r="J181">
        <f t="shared" si="2"/>
        <v>5000.0048999975988</v>
      </c>
    </row>
    <row r="182" spans="8:10" x14ac:dyDescent="0.35">
      <c r="H182" s="3">
        <v>30000</v>
      </c>
      <c r="I182" s="2">
        <v>42</v>
      </c>
      <c r="J182">
        <f t="shared" si="2"/>
        <v>10000</v>
      </c>
    </row>
    <row r="183" spans="8:10" x14ac:dyDescent="0.35">
      <c r="H183" s="3">
        <v>16000</v>
      </c>
      <c r="I183" s="2">
        <v>50</v>
      </c>
      <c r="J183">
        <f t="shared" si="2"/>
        <v>4000.0079999919999</v>
      </c>
    </row>
    <row r="184" spans="8:10" x14ac:dyDescent="0.35">
      <c r="H184" s="3">
        <v>18000</v>
      </c>
      <c r="I184" s="2">
        <v>30</v>
      </c>
      <c r="J184">
        <f t="shared" si="2"/>
        <v>2000.0359996760058</v>
      </c>
    </row>
    <row r="185" spans="8:10" x14ac:dyDescent="0.35">
      <c r="H185" s="3">
        <v>32000</v>
      </c>
      <c r="I185" s="2">
        <v>40</v>
      </c>
      <c r="J185">
        <f t="shared" si="2"/>
        <v>12000.000166666665</v>
      </c>
    </row>
    <row r="186" spans="8:10" x14ac:dyDescent="0.35">
      <c r="H186" s="3">
        <v>15000</v>
      </c>
      <c r="I186" s="2">
        <v>38</v>
      </c>
      <c r="J186">
        <f t="shared" si="2"/>
        <v>5000.001599999744</v>
      </c>
    </row>
    <row r="187" spans="8:10" x14ac:dyDescent="0.35">
      <c r="H187" s="3">
        <v>30000</v>
      </c>
      <c r="I187" s="2">
        <v>45</v>
      </c>
      <c r="J187">
        <f t="shared" si="2"/>
        <v>10000.00044999999</v>
      </c>
    </row>
    <row r="188" spans="8:10" x14ac:dyDescent="0.35">
      <c r="H188" s="3">
        <v>19000</v>
      </c>
      <c r="I188" s="2">
        <v>28</v>
      </c>
      <c r="J188">
        <f t="shared" si="2"/>
        <v>1000.0979951984706</v>
      </c>
    </row>
    <row r="189" spans="8:10" x14ac:dyDescent="0.35">
      <c r="H189" s="3">
        <v>17000</v>
      </c>
      <c r="I189" s="2">
        <v>32</v>
      </c>
      <c r="J189">
        <f t="shared" si="2"/>
        <v>3000.0166666203704</v>
      </c>
    </row>
    <row r="190" spans="8:10" x14ac:dyDescent="0.35">
      <c r="H190" s="3">
        <v>40000</v>
      </c>
      <c r="I190" s="2">
        <v>50</v>
      </c>
      <c r="J190">
        <f t="shared" si="2"/>
        <v>20000.001599999938</v>
      </c>
    </row>
    <row r="191" spans="8:10" x14ac:dyDescent="0.35">
      <c r="H191" s="3">
        <v>15000</v>
      </c>
      <c r="I191" s="2">
        <v>35</v>
      </c>
      <c r="J191">
        <f t="shared" si="2"/>
        <v>5000.0048999975988</v>
      </c>
    </row>
    <row r="192" spans="8:10" x14ac:dyDescent="0.35">
      <c r="H192" s="3">
        <v>30000</v>
      </c>
      <c r="I192" s="2">
        <v>42</v>
      </c>
      <c r="J192">
        <f t="shared" si="2"/>
        <v>10000</v>
      </c>
    </row>
    <row r="193" spans="8:10" x14ac:dyDescent="0.35">
      <c r="H193" s="3">
        <v>16000</v>
      </c>
      <c r="I193" s="2">
        <v>50</v>
      </c>
      <c r="J193">
        <f t="shared" si="2"/>
        <v>4000.0079999919999</v>
      </c>
    </row>
    <row r="194" spans="8:10" x14ac:dyDescent="0.35">
      <c r="H194" s="3">
        <v>18000</v>
      </c>
      <c r="I194" s="2">
        <v>35</v>
      </c>
      <c r="J194">
        <f t="shared" si="2"/>
        <v>2000.0122499624847</v>
      </c>
    </row>
    <row r="195" spans="8:10" x14ac:dyDescent="0.35">
      <c r="H195" s="3">
        <v>35000</v>
      </c>
      <c r="I195" s="2">
        <v>50</v>
      </c>
      <c r="J195">
        <f t="shared" si="2"/>
        <v>15000.002133333182</v>
      </c>
    </row>
    <row r="196" spans="8:10" x14ac:dyDescent="0.35">
      <c r="H196" s="3">
        <v>15000</v>
      </c>
      <c r="I196" s="2">
        <v>38</v>
      </c>
      <c r="J196">
        <f t="shared" si="2"/>
        <v>5000.001599999744</v>
      </c>
    </row>
    <row r="197" spans="8:10" x14ac:dyDescent="0.35">
      <c r="H197" s="3">
        <v>30000</v>
      </c>
      <c r="I197" s="2">
        <v>42</v>
      </c>
      <c r="J197">
        <f t="shared" ref="J197:J215" si="3">SQRT((H197-20000)^2 + (I197-42)^2)</f>
        <v>10000</v>
      </c>
    </row>
    <row r="198" spans="8:10" x14ac:dyDescent="0.35">
      <c r="H198" s="3">
        <v>19000</v>
      </c>
      <c r="I198" s="2">
        <v>28</v>
      </c>
      <c r="J198">
        <f t="shared" si="3"/>
        <v>1000.0979951984706</v>
      </c>
    </row>
    <row r="199" spans="8:10" x14ac:dyDescent="0.35">
      <c r="H199" s="3">
        <v>17000</v>
      </c>
      <c r="I199" s="2">
        <v>32</v>
      </c>
      <c r="J199">
        <f t="shared" si="3"/>
        <v>3000.0166666203704</v>
      </c>
    </row>
    <row r="200" spans="8:10" x14ac:dyDescent="0.35">
      <c r="H200" s="3">
        <v>40000</v>
      </c>
      <c r="I200" s="2">
        <v>50</v>
      </c>
      <c r="J200">
        <f t="shared" si="3"/>
        <v>20000.001599999938</v>
      </c>
    </row>
    <row r="201" spans="8:10" x14ac:dyDescent="0.35">
      <c r="H201" s="3">
        <v>15000</v>
      </c>
      <c r="I201" s="2">
        <v>35</v>
      </c>
      <c r="J201">
        <f t="shared" si="3"/>
        <v>5000.0048999975988</v>
      </c>
    </row>
    <row r="202" spans="8:10" x14ac:dyDescent="0.35">
      <c r="H202" s="3">
        <v>30000</v>
      </c>
      <c r="I202" s="2">
        <v>42</v>
      </c>
      <c r="J202">
        <f t="shared" si="3"/>
        <v>10000</v>
      </c>
    </row>
    <row r="203" spans="8:10" x14ac:dyDescent="0.35">
      <c r="H203" s="3">
        <v>16000</v>
      </c>
      <c r="I203" s="2">
        <v>50</v>
      </c>
      <c r="J203">
        <f t="shared" si="3"/>
        <v>4000.0079999919999</v>
      </c>
    </row>
    <row r="204" spans="8:10" x14ac:dyDescent="0.35">
      <c r="H204" s="3">
        <v>18000</v>
      </c>
      <c r="I204" s="2">
        <v>30</v>
      </c>
      <c r="J204">
        <f t="shared" si="3"/>
        <v>2000.0359996760058</v>
      </c>
    </row>
    <row r="205" spans="8:10" x14ac:dyDescent="0.35">
      <c r="H205" s="3">
        <v>32000</v>
      </c>
      <c r="I205" s="2">
        <v>40</v>
      </c>
      <c r="J205">
        <f t="shared" si="3"/>
        <v>12000.000166666665</v>
      </c>
    </row>
    <row r="206" spans="8:10" x14ac:dyDescent="0.35">
      <c r="H206" s="3">
        <v>15000</v>
      </c>
      <c r="I206" s="2">
        <v>38</v>
      </c>
      <c r="J206">
        <f t="shared" si="3"/>
        <v>5000.001599999744</v>
      </c>
    </row>
    <row r="207" spans="8:10" x14ac:dyDescent="0.35">
      <c r="H207" s="3">
        <v>30000</v>
      </c>
      <c r="I207" s="2">
        <v>45</v>
      </c>
      <c r="J207">
        <f t="shared" si="3"/>
        <v>10000.00044999999</v>
      </c>
    </row>
    <row r="208" spans="8:10" x14ac:dyDescent="0.35">
      <c r="H208" s="3">
        <v>19000</v>
      </c>
      <c r="I208" s="2">
        <v>28</v>
      </c>
      <c r="J208">
        <f t="shared" si="3"/>
        <v>1000.0979951984706</v>
      </c>
    </row>
    <row r="209" spans="8:10" x14ac:dyDescent="0.35">
      <c r="H209" s="3">
        <v>17000</v>
      </c>
      <c r="I209" s="2">
        <v>32</v>
      </c>
      <c r="J209">
        <f t="shared" si="3"/>
        <v>3000.0166666203704</v>
      </c>
    </row>
    <row r="210" spans="8:10" x14ac:dyDescent="0.35">
      <c r="H210" s="3">
        <v>40000</v>
      </c>
      <c r="I210" s="2">
        <v>50</v>
      </c>
      <c r="J210">
        <f t="shared" si="3"/>
        <v>20000.001599999938</v>
      </c>
    </row>
    <row r="211" spans="8:10" x14ac:dyDescent="0.35">
      <c r="H211" s="3">
        <v>15000</v>
      </c>
      <c r="I211" s="2">
        <v>35</v>
      </c>
      <c r="J211">
        <f t="shared" si="3"/>
        <v>5000.0048999975988</v>
      </c>
    </row>
    <row r="212" spans="8:10" x14ac:dyDescent="0.35">
      <c r="H212" s="3">
        <v>30000</v>
      </c>
      <c r="I212" s="2">
        <v>42</v>
      </c>
      <c r="J212">
        <f t="shared" si="3"/>
        <v>10000</v>
      </c>
    </row>
    <row r="213" spans="8:10" x14ac:dyDescent="0.35">
      <c r="H213" s="3">
        <v>16000</v>
      </c>
      <c r="I213" s="2">
        <v>50</v>
      </c>
      <c r="J213">
        <f t="shared" si="3"/>
        <v>4000.0079999919999</v>
      </c>
    </row>
    <row r="214" spans="8:10" x14ac:dyDescent="0.35">
      <c r="H214" s="3">
        <v>18000</v>
      </c>
      <c r="I214" s="2">
        <v>30</v>
      </c>
      <c r="J214">
        <f t="shared" si="3"/>
        <v>2000.0359996760058</v>
      </c>
    </row>
    <row r="215" spans="8:10" x14ac:dyDescent="0.35">
      <c r="H215" s="3">
        <v>32000</v>
      </c>
      <c r="I215" s="2">
        <v>40</v>
      </c>
      <c r="J215">
        <f t="shared" si="3"/>
        <v>12000.000166666665</v>
      </c>
    </row>
    <row r="217" spans="8:10" x14ac:dyDescent="0.35">
      <c r="H217" s="5">
        <f>MAX(H2:H215)</f>
        <v>30000000</v>
      </c>
    </row>
    <row r="218" spans="8:10" x14ac:dyDescent="0.35">
      <c r="H218" s="5">
        <f>MIN(H2:H215)</f>
        <v>12000</v>
      </c>
    </row>
    <row r="219" spans="8:10" x14ac:dyDescent="0.35">
      <c r="H219" s="6">
        <f>H217-H218</f>
        <v>29988000</v>
      </c>
    </row>
    <row r="220" spans="8:10" x14ac:dyDescent="0.35">
      <c r="H220" s="6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53D8-E67C-44F9-840F-2A28CC9DC679}">
  <dimension ref="A1:C60"/>
  <sheetViews>
    <sheetView topLeftCell="A8" workbookViewId="0">
      <selection activeCell="N31" sqref="N31"/>
    </sheetView>
  </sheetViews>
  <sheetFormatPr defaultRowHeight="14.5" x14ac:dyDescent="0.35"/>
  <cols>
    <col min="1" max="1" width="13.7265625" bestFit="1" customWidth="1"/>
    <col min="2" max="2" width="10.54296875" bestFit="1" customWidth="1"/>
  </cols>
  <sheetData>
    <row r="1" spans="1:2" x14ac:dyDescent="0.35">
      <c r="A1" t="s">
        <v>107</v>
      </c>
      <c r="B1" t="s">
        <v>108</v>
      </c>
    </row>
    <row r="2" spans="1:2" x14ac:dyDescent="0.35">
      <c r="A2" t="s">
        <v>82</v>
      </c>
      <c r="B2">
        <v>196</v>
      </c>
    </row>
    <row r="3" spans="1:2" x14ac:dyDescent="0.35">
      <c r="A3" t="s">
        <v>109</v>
      </c>
      <c r="B3">
        <v>18</v>
      </c>
    </row>
    <row r="4" spans="1:2" x14ac:dyDescent="0.35">
      <c r="A4" t="s">
        <v>110</v>
      </c>
      <c r="B4">
        <f>B2+B3</f>
        <v>214</v>
      </c>
    </row>
    <row r="20" spans="1:2" x14ac:dyDescent="0.35">
      <c r="A20" t="s">
        <v>111</v>
      </c>
      <c r="B20" t="s">
        <v>112</v>
      </c>
    </row>
    <row r="21" spans="1:2" x14ac:dyDescent="0.35">
      <c r="A21" t="s">
        <v>113</v>
      </c>
      <c r="B21">
        <v>41</v>
      </c>
    </row>
    <row r="22" spans="1:2" x14ac:dyDescent="0.35">
      <c r="A22" t="s">
        <v>28</v>
      </c>
      <c r="B22">
        <v>37</v>
      </c>
    </row>
    <row r="23" spans="1:2" x14ac:dyDescent="0.35">
      <c r="A23" t="s">
        <v>24</v>
      </c>
      <c r="B23">
        <v>46</v>
      </c>
    </row>
    <row r="24" spans="1:2" x14ac:dyDescent="0.35">
      <c r="A24" t="s">
        <v>29</v>
      </c>
      <c r="B24">
        <v>4</v>
      </c>
    </row>
    <row r="25" spans="1:2" x14ac:dyDescent="0.35">
      <c r="A25" t="s">
        <v>20</v>
      </c>
      <c r="B25">
        <v>33</v>
      </c>
    </row>
    <row r="26" spans="1:2" x14ac:dyDescent="0.35">
      <c r="A26" t="s">
        <v>74</v>
      </c>
      <c r="B26">
        <v>41</v>
      </c>
    </row>
    <row r="27" spans="1:2" x14ac:dyDescent="0.35">
      <c r="A27" t="s">
        <v>49</v>
      </c>
      <c r="B27">
        <v>12</v>
      </c>
    </row>
    <row r="28" spans="1:2" x14ac:dyDescent="0.35">
      <c r="A28" t="s">
        <v>95</v>
      </c>
      <c r="B28">
        <f>SUM(B21:B27)</f>
        <v>214</v>
      </c>
    </row>
    <row r="40" spans="1:2" x14ac:dyDescent="0.35">
      <c r="A40" t="s">
        <v>114</v>
      </c>
      <c r="B40" t="s">
        <v>115</v>
      </c>
    </row>
    <row r="41" spans="1:2" x14ac:dyDescent="0.35">
      <c r="A41" t="s">
        <v>116</v>
      </c>
      <c r="B41">
        <v>127</v>
      </c>
    </row>
    <row r="42" spans="1:2" x14ac:dyDescent="0.35">
      <c r="A42" t="s">
        <v>117</v>
      </c>
      <c r="B42">
        <v>87</v>
      </c>
    </row>
    <row r="43" spans="1:2" x14ac:dyDescent="0.35">
      <c r="A43" t="s">
        <v>95</v>
      </c>
      <c r="B43">
        <v>214</v>
      </c>
    </row>
    <row r="57" spans="1:3" x14ac:dyDescent="0.35">
      <c r="A57" t="s">
        <v>118</v>
      </c>
      <c r="B57" t="s">
        <v>115</v>
      </c>
      <c r="C57" t="s">
        <v>86</v>
      </c>
    </row>
    <row r="58" spans="1:3" x14ac:dyDescent="0.35">
      <c r="A58" t="s">
        <v>22</v>
      </c>
      <c r="B58">
        <v>106</v>
      </c>
      <c r="C58" s="4">
        <v>0.5</v>
      </c>
    </row>
    <row r="59" spans="1:3" x14ac:dyDescent="0.35">
      <c r="A59" t="s">
        <v>18</v>
      </c>
      <c r="B59">
        <v>108</v>
      </c>
      <c r="C59" s="4">
        <v>0.5</v>
      </c>
    </row>
    <row r="60" spans="1:3" x14ac:dyDescent="0.35">
      <c r="A60" t="s">
        <v>95</v>
      </c>
      <c r="B60">
        <v>214</v>
      </c>
      <c r="C60">
        <v>1</v>
      </c>
    </row>
  </sheetData>
  <phoneticPr fontId="2" type="noConversion"/>
  <pageMargins left="0.7" right="0.7" top="0.75" bottom="0.75" header="0.3" footer="0.3"/>
  <ignoredErrors>
    <ignoredError sqref="C58:C60" calculatedColumn="1"/>
  </ignoredErrors>
  <drawing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D350-7073-43D8-82DF-18126831E5B6}">
  <dimension ref="A1:B220"/>
  <sheetViews>
    <sheetView workbookViewId="0">
      <selection activeCell="C1" sqref="C1:K33"/>
    </sheetView>
  </sheetViews>
  <sheetFormatPr defaultRowHeight="14.5" x14ac:dyDescent="0.35"/>
  <cols>
    <col min="1" max="1" width="22.54296875" bestFit="1" customWidth="1"/>
    <col min="2" max="2" width="13.81640625" bestFit="1" customWidth="1"/>
  </cols>
  <sheetData>
    <row r="1" spans="1:2" x14ac:dyDescent="0.35">
      <c r="A1" s="1" t="s">
        <v>5</v>
      </c>
      <c r="B1" s="1" t="s">
        <v>10</v>
      </c>
    </row>
    <row r="2" spans="1:2" x14ac:dyDescent="0.35">
      <c r="A2" s="3">
        <v>10000000</v>
      </c>
      <c r="B2" s="2">
        <v>45</v>
      </c>
    </row>
    <row r="3" spans="1:2" x14ac:dyDescent="0.35">
      <c r="A3" s="3">
        <v>3500000</v>
      </c>
      <c r="B3" s="2">
        <v>55</v>
      </c>
    </row>
    <row r="4" spans="1:2" x14ac:dyDescent="0.35">
      <c r="A4" s="3">
        <v>20000000</v>
      </c>
      <c r="B4" s="2">
        <v>60</v>
      </c>
    </row>
    <row r="5" spans="1:2" x14ac:dyDescent="0.35">
      <c r="A5" s="3">
        <v>15000000</v>
      </c>
      <c r="B5" s="2">
        <v>50</v>
      </c>
    </row>
    <row r="6" spans="1:2" x14ac:dyDescent="0.35">
      <c r="A6" s="3">
        <v>15000</v>
      </c>
      <c r="B6" s="2">
        <v>35</v>
      </c>
    </row>
    <row r="7" spans="1:2" x14ac:dyDescent="0.35">
      <c r="A7" s="3">
        <v>30000</v>
      </c>
      <c r="B7" s="2">
        <v>42</v>
      </c>
    </row>
    <row r="8" spans="1:2" x14ac:dyDescent="0.35">
      <c r="A8" s="3">
        <v>18000</v>
      </c>
      <c r="B8" s="2">
        <v>28</v>
      </c>
    </row>
    <row r="9" spans="1:2" x14ac:dyDescent="0.35">
      <c r="A9" s="3">
        <v>40000</v>
      </c>
      <c r="B9" s="2">
        <v>50</v>
      </c>
    </row>
    <row r="10" spans="1:2" x14ac:dyDescent="0.35">
      <c r="A10" s="3">
        <v>16000</v>
      </c>
      <c r="B10" s="2">
        <v>38</v>
      </c>
    </row>
    <row r="11" spans="1:2" x14ac:dyDescent="0.35">
      <c r="A11" s="3">
        <v>12000</v>
      </c>
      <c r="B11" s="2">
        <v>30</v>
      </c>
    </row>
    <row r="12" spans="1:2" x14ac:dyDescent="0.35">
      <c r="A12" s="3">
        <v>35000</v>
      </c>
      <c r="B12" s="2">
        <v>55</v>
      </c>
    </row>
    <row r="13" spans="1:2" x14ac:dyDescent="0.35">
      <c r="A13" s="3">
        <v>14000</v>
      </c>
      <c r="B13" s="2">
        <v>40</v>
      </c>
    </row>
    <row r="14" spans="1:2" x14ac:dyDescent="0.35">
      <c r="A14" s="3">
        <v>32000</v>
      </c>
      <c r="B14" s="2">
        <v>50</v>
      </c>
    </row>
    <row r="15" spans="1:2" x14ac:dyDescent="0.35">
      <c r="A15" s="3">
        <v>20000</v>
      </c>
      <c r="B15" s="2">
        <v>35</v>
      </c>
    </row>
    <row r="16" spans="1:2" x14ac:dyDescent="0.35">
      <c r="A16" s="3">
        <v>17000</v>
      </c>
      <c r="B16" s="2">
        <v>32</v>
      </c>
    </row>
    <row r="17" spans="1:2" x14ac:dyDescent="0.35">
      <c r="A17" s="3">
        <v>38000</v>
      </c>
      <c r="B17" s="2">
        <v>48</v>
      </c>
    </row>
    <row r="18" spans="1:2" x14ac:dyDescent="0.35">
      <c r="A18" s="3">
        <v>15000</v>
      </c>
      <c r="B18" s="2">
        <v>45</v>
      </c>
    </row>
    <row r="19" spans="1:2" x14ac:dyDescent="0.35">
      <c r="A19" s="3">
        <v>30000</v>
      </c>
      <c r="B19" s="2">
        <v>52</v>
      </c>
    </row>
    <row r="20" spans="1:2" x14ac:dyDescent="0.35">
      <c r="A20" s="3">
        <v>16000</v>
      </c>
      <c r="B20" s="2">
        <v>28</v>
      </c>
    </row>
    <row r="21" spans="1:2" x14ac:dyDescent="0.35">
      <c r="A21" s="3">
        <v>20000</v>
      </c>
      <c r="B21" s="2">
        <v>39</v>
      </c>
    </row>
    <row r="22" spans="1:2" x14ac:dyDescent="0.35">
      <c r="A22" s="3">
        <v>35000</v>
      </c>
      <c r="B22" s="2">
        <v>50</v>
      </c>
    </row>
    <row r="23" spans="1:2" x14ac:dyDescent="0.35">
      <c r="A23" s="3">
        <v>15000</v>
      </c>
      <c r="B23" s="2">
        <v>35</v>
      </c>
    </row>
    <row r="24" spans="1:2" x14ac:dyDescent="0.35">
      <c r="A24" s="3">
        <v>32000</v>
      </c>
      <c r="B24" s="2">
        <v>42</v>
      </c>
    </row>
    <row r="25" spans="1:2" x14ac:dyDescent="0.35">
      <c r="A25" s="3">
        <v>18000</v>
      </c>
      <c r="B25" s="2">
        <v>28</v>
      </c>
    </row>
    <row r="26" spans="1:2" x14ac:dyDescent="0.35">
      <c r="A26" s="3">
        <v>20000</v>
      </c>
      <c r="B26" s="2">
        <v>35</v>
      </c>
    </row>
    <row r="27" spans="1:2" x14ac:dyDescent="0.35">
      <c r="A27" s="3">
        <v>40000</v>
      </c>
      <c r="B27" s="2">
        <v>50</v>
      </c>
    </row>
    <row r="28" spans="1:2" x14ac:dyDescent="0.35">
      <c r="A28" s="3">
        <v>16000</v>
      </c>
      <c r="B28" s="2">
        <v>32</v>
      </c>
    </row>
    <row r="29" spans="1:2" x14ac:dyDescent="0.35">
      <c r="A29" s="3">
        <v>30000</v>
      </c>
      <c r="B29" s="2">
        <v>50</v>
      </c>
    </row>
    <row r="30" spans="1:2" x14ac:dyDescent="0.35">
      <c r="A30" s="3">
        <v>20000</v>
      </c>
      <c r="B30" s="2">
        <v>45</v>
      </c>
    </row>
    <row r="31" spans="1:2" x14ac:dyDescent="0.35">
      <c r="A31" s="3">
        <v>35000</v>
      </c>
      <c r="B31" s="2">
        <v>55</v>
      </c>
    </row>
    <row r="32" spans="1:2" x14ac:dyDescent="0.35">
      <c r="A32" s="3">
        <v>18000</v>
      </c>
      <c r="B32" s="2">
        <v>38</v>
      </c>
    </row>
    <row r="33" spans="1:2" x14ac:dyDescent="0.35">
      <c r="A33" s="3">
        <v>15000</v>
      </c>
      <c r="B33" s="2">
        <v>45</v>
      </c>
    </row>
    <row r="34" spans="1:2" x14ac:dyDescent="0.35">
      <c r="A34" s="3">
        <v>30000</v>
      </c>
      <c r="B34" s="2">
        <v>52</v>
      </c>
    </row>
    <row r="35" spans="1:2" x14ac:dyDescent="0.35">
      <c r="A35" s="3">
        <v>20000</v>
      </c>
      <c r="B35" s="2">
        <v>40</v>
      </c>
    </row>
    <row r="36" spans="1:2" x14ac:dyDescent="0.35">
      <c r="A36" s="3">
        <v>18000</v>
      </c>
      <c r="B36" s="2">
        <v>28</v>
      </c>
    </row>
    <row r="37" spans="1:2" x14ac:dyDescent="0.35">
      <c r="A37" s="3">
        <v>35000</v>
      </c>
      <c r="B37" s="2">
        <v>55</v>
      </c>
    </row>
    <row r="38" spans="1:2" x14ac:dyDescent="0.35">
      <c r="A38" s="3">
        <v>20000</v>
      </c>
      <c r="B38" s="2">
        <v>35</v>
      </c>
    </row>
    <row r="39" spans="1:2" x14ac:dyDescent="0.35">
      <c r="A39" s="3">
        <v>30000</v>
      </c>
      <c r="B39" s="2">
        <v>42</v>
      </c>
    </row>
    <row r="40" spans="1:2" x14ac:dyDescent="0.35">
      <c r="A40" s="3">
        <v>18000</v>
      </c>
      <c r="B40" s="2">
        <v>45</v>
      </c>
    </row>
    <row r="41" spans="1:2" x14ac:dyDescent="0.35">
      <c r="A41" s="3">
        <v>40000</v>
      </c>
      <c r="B41" s="2">
        <v>50</v>
      </c>
    </row>
    <row r="42" spans="1:2" x14ac:dyDescent="0.35">
      <c r="A42" s="3">
        <v>16000</v>
      </c>
      <c r="B42" s="2">
        <v>28</v>
      </c>
    </row>
    <row r="43" spans="1:2" x14ac:dyDescent="0.35">
      <c r="A43" s="3">
        <v>32000</v>
      </c>
      <c r="B43" s="2">
        <v>50</v>
      </c>
    </row>
    <row r="44" spans="1:2" x14ac:dyDescent="0.35">
      <c r="A44" s="3">
        <v>20000</v>
      </c>
      <c r="B44" s="2">
        <v>35</v>
      </c>
    </row>
    <row r="45" spans="1:2" x14ac:dyDescent="0.35">
      <c r="A45" s="3">
        <v>35000</v>
      </c>
      <c r="B45" s="2">
        <v>42</v>
      </c>
    </row>
    <row r="46" spans="1:2" x14ac:dyDescent="0.35">
      <c r="A46" s="3">
        <v>15000</v>
      </c>
      <c r="B46" s="2">
        <v>32</v>
      </c>
    </row>
    <row r="47" spans="1:2" x14ac:dyDescent="0.35">
      <c r="A47" s="3">
        <v>30000</v>
      </c>
      <c r="B47" s="2">
        <v>48</v>
      </c>
    </row>
    <row r="48" spans="1:2" x14ac:dyDescent="0.35">
      <c r="A48" s="3">
        <v>16000</v>
      </c>
      <c r="B48" s="2">
        <v>38</v>
      </c>
    </row>
    <row r="49" spans="1:2" x14ac:dyDescent="0.35">
      <c r="A49" s="3">
        <v>30000</v>
      </c>
      <c r="B49" s="2">
        <v>50</v>
      </c>
    </row>
    <row r="50" spans="1:2" x14ac:dyDescent="0.35">
      <c r="A50" s="3">
        <v>18000</v>
      </c>
      <c r="B50" s="2">
        <v>28</v>
      </c>
    </row>
    <row r="51" spans="1:2" x14ac:dyDescent="0.35">
      <c r="A51" s="3">
        <v>35000</v>
      </c>
      <c r="B51" s="2">
        <v>42</v>
      </c>
    </row>
    <row r="52" spans="1:2" x14ac:dyDescent="0.35">
      <c r="A52" s="3">
        <v>16000</v>
      </c>
      <c r="B52" s="2">
        <v>35</v>
      </c>
    </row>
    <row r="53" spans="1:2" x14ac:dyDescent="0.35">
      <c r="A53" s="3">
        <v>30000</v>
      </c>
      <c r="B53" s="2">
        <v>55</v>
      </c>
    </row>
    <row r="54" spans="1:2" x14ac:dyDescent="0.35">
      <c r="A54" s="3">
        <v>18000</v>
      </c>
      <c r="B54" s="2">
        <v>32</v>
      </c>
    </row>
    <row r="55" spans="1:2" x14ac:dyDescent="0.35">
      <c r="A55" s="3">
        <v>30000000</v>
      </c>
      <c r="B55" s="2">
        <v>55</v>
      </c>
    </row>
    <row r="56" spans="1:2" x14ac:dyDescent="0.35">
      <c r="A56" s="3">
        <v>3000000</v>
      </c>
      <c r="B56" s="2">
        <v>45</v>
      </c>
    </row>
    <row r="57" spans="1:2" x14ac:dyDescent="0.35">
      <c r="A57" s="3">
        <v>10000000</v>
      </c>
      <c r="B57" s="2">
        <v>60</v>
      </c>
    </row>
    <row r="58" spans="1:2" x14ac:dyDescent="0.35">
      <c r="A58" s="3">
        <v>5000000</v>
      </c>
      <c r="B58" s="2">
        <v>50</v>
      </c>
    </row>
    <row r="59" spans="1:2" x14ac:dyDescent="0.35">
      <c r="A59" s="3">
        <v>25000000</v>
      </c>
      <c r="B59" s="2">
        <v>45</v>
      </c>
    </row>
    <row r="60" spans="1:2" x14ac:dyDescent="0.35">
      <c r="A60" s="3">
        <v>15000</v>
      </c>
      <c r="B60" s="2">
        <v>35</v>
      </c>
    </row>
    <row r="61" spans="1:2" x14ac:dyDescent="0.35">
      <c r="A61" s="3">
        <v>30000</v>
      </c>
      <c r="B61" s="2">
        <v>42</v>
      </c>
    </row>
    <row r="62" spans="1:2" x14ac:dyDescent="0.35">
      <c r="A62" s="3">
        <v>18000</v>
      </c>
      <c r="B62" s="2">
        <v>28</v>
      </c>
    </row>
    <row r="63" spans="1:2" x14ac:dyDescent="0.35">
      <c r="A63" s="3">
        <v>40000</v>
      </c>
      <c r="B63" s="2">
        <v>50</v>
      </c>
    </row>
    <row r="64" spans="1:2" x14ac:dyDescent="0.35">
      <c r="A64" s="3">
        <v>16000</v>
      </c>
      <c r="B64" s="2">
        <v>38</v>
      </c>
    </row>
    <row r="65" spans="1:2" x14ac:dyDescent="0.35">
      <c r="A65" s="3">
        <v>12000</v>
      </c>
      <c r="B65" s="2">
        <v>30</v>
      </c>
    </row>
    <row r="66" spans="1:2" x14ac:dyDescent="0.35">
      <c r="A66" s="3">
        <v>35000</v>
      </c>
      <c r="B66" s="2">
        <v>55</v>
      </c>
    </row>
    <row r="67" spans="1:2" x14ac:dyDescent="0.35">
      <c r="A67" s="3">
        <v>14000</v>
      </c>
      <c r="B67" s="2">
        <v>40</v>
      </c>
    </row>
    <row r="68" spans="1:2" x14ac:dyDescent="0.35">
      <c r="A68" s="3">
        <v>32000</v>
      </c>
      <c r="B68" s="2">
        <v>50</v>
      </c>
    </row>
    <row r="69" spans="1:2" x14ac:dyDescent="0.35">
      <c r="A69" s="3">
        <v>20000</v>
      </c>
      <c r="B69" s="2">
        <v>35</v>
      </c>
    </row>
    <row r="70" spans="1:2" x14ac:dyDescent="0.35">
      <c r="A70" s="3">
        <v>17000</v>
      </c>
      <c r="B70" s="2">
        <v>32</v>
      </c>
    </row>
    <row r="71" spans="1:2" x14ac:dyDescent="0.35">
      <c r="A71" s="3">
        <v>38000</v>
      </c>
      <c r="B71" s="2">
        <v>48</v>
      </c>
    </row>
    <row r="72" spans="1:2" x14ac:dyDescent="0.35">
      <c r="A72" s="3">
        <v>15000</v>
      </c>
      <c r="B72" s="2">
        <v>45</v>
      </c>
    </row>
    <row r="73" spans="1:2" x14ac:dyDescent="0.35">
      <c r="A73" s="3">
        <v>30000</v>
      </c>
      <c r="B73" s="2">
        <v>52</v>
      </c>
    </row>
    <row r="74" spans="1:2" x14ac:dyDescent="0.35">
      <c r="A74" s="3">
        <v>16000</v>
      </c>
      <c r="B74" s="2">
        <v>28</v>
      </c>
    </row>
    <row r="75" spans="1:2" x14ac:dyDescent="0.35">
      <c r="A75" s="3">
        <v>20000</v>
      </c>
      <c r="B75" s="2">
        <v>39</v>
      </c>
    </row>
    <row r="76" spans="1:2" x14ac:dyDescent="0.35">
      <c r="A76" s="3">
        <v>35000</v>
      </c>
      <c r="B76" s="2">
        <v>50</v>
      </c>
    </row>
    <row r="77" spans="1:2" x14ac:dyDescent="0.35">
      <c r="A77" s="3">
        <v>15000</v>
      </c>
      <c r="B77" s="2">
        <v>35</v>
      </c>
    </row>
    <row r="78" spans="1:2" x14ac:dyDescent="0.35">
      <c r="A78" s="3">
        <v>32000</v>
      </c>
      <c r="B78" s="2">
        <v>42</v>
      </c>
    </row>
    <row r="79" spans="1:2" x14ac:dyDescent="0.35">
      <c r="A79" s="3">
        <v>18000</v>
      </c>
      <c r="B79" s="2">
        <v>28</v>
      </c>
    </row>
    <row r="80" spans="1:2" x14ac:dyDescent="0.35">
      <c r="A80" s="3">
        <v>20000</v>
      </c>
      <c r="B80" s="2">
        <v>35</v>
      </c>
    </row>
    <row r="81" spans="1:2" x14ac:dyDescent="0.35">
      <c r="A81" s="3">
        <v>40000</v>
      </c>
      <c r="B81" s="2">
        <v>50</v>
      </c>
    </row>
    <row r="82" spans="1:2" x14ac:dyDescent="0.35">
      <c r="A82" s="3">
        <v>16000</v>
      </c>
      <c r="B82" s="2">
        <v>32</v>
      </c>
    </row>
    <row r="83" spans="1:2" x14ac:dyDescent="0.35">
      <c r="A83" s="3">
        <v>30000</v>
      </c>
      <c r="B83" s="2">
        <v>50</v>
      </c>
    </row>
    <row r="84" spans="1:2" x14ac:dyDescent="0.35">
      <c r="A84" s="3">
        <v>20000</v>
      </c>
      <c r="B84" s="2">
        <v>45</v>
      </c>
    </row>
    <row r="85" spans="1:2" x14ac:dyDescent="0.35">
      <c r="A85" s="3">
        <v>35000</v>
      </c>
      <c r="B85" s="2">
        <v>55</v>
      </c>
    </row>
    <row r="86" spans="1:2" x14ac:dyDescent="0.35">
      <c r="A86" s="3">
        <v>18000</v>
      </c>
      <c r="B86" s="2">
        <v>38</v>
      </c>
    </row>
    <row r="87" spans="1:2" x14ac:dyDescent="0.35">
      <c r="A87" s="3">
        <v>15000</v>
      </c>
      <c r="B87" s="2">
        <v>45</v>
      </c>
    </row>
    <row r="88" spans="1:2" x14ac:dyDescent="0.35">
      <c r="A88" s="3">
        <v>30000</v>
      </c>
      <c r="B88" s="2">
        <v>52</v>
      </c>
    </row>
    <row r="89" spans="1:2" x14ac:dyDescent="0.35">
      <c r="A89" s="3">
        <v>16000</v>
      </c>
      <c r="B89" s="2">
        <v>42</v>
      </c>
    </row>
    <row r="90" spans="1:2" x14ac:dyDescent="0.35">
      <c r="A90" s="3">
        <v>20000</v>
      </c>
      <c r="B90" s="2">
        <v>35</v>
      </c>
    </row>
    <row r="91" spans="1:2" x14ac:dyDescent="0.35">
      <c r="A91" s="3">
        <v>40000</v>
      </c>
      <c r="B91" s="2">
        <v>48</v>
      </c>
    </row>
    <row r="92" spans="1:2" x14ac:dyDescent="0.35">
      <c r="A92" s="3">
        <v>15000</v>
      </c>
      <c r="B92" s="2">
        <v>42</v>
      </c>
    </row>
    <row r="93" spans="1:2" x14ac:dyDescent="0.35">
      <c r="A93" s="3">
        <v>32000</v>
      </c>
      <c r="B93" s="2">
        <v>50</v>
      </c>
    </row>
    <row r="94" spans="1:2" x14ac:dyDescent="0.35">
      <c r="A94" s="3">
        <v>18000</v>
      </c>
      <c r="B94" s="2">
        <v>28</v>
      </c>
    </row>
    <row r="95" spans="1:2" x14ac:dyDescent="0.35">
      <c r="A95" s="3">
        <v>35000</v>
      </c>
      <c r="B95" s="2">
        <v>55</v>
      </c>
    </row>
    <row r="96" spans="1:2" x14ac:dyDescent="0.35">
      <c r="A96" s="3">
        <v>16000</v>
      </c>
      <c r="B96" s="2">
        <v>32</v>
      </c>
    </row>
    <row r="97" spans="1:2" x14ac:dyDescent="0.35">
      <c r="A97" s="3">
        <v>15000</v>
      </c>
      <c r="B97" s="2">
        <v>28</v>
      </c>
    </row>
    <row r="98" spans="1:2" x14ac:dyDescent="0.35">
      <c r="A98" s="3">
        <v>30000</v>
      </c>
      <c r="B98" s="2">
        <v>42</v>
      </c>
    </row>
    <row r="99" spans="1:2" x14ac:dyDescent="0.35">
      <c r="A99" s="3">
        <v>20000</v>
      </c>
      <c r="B99" s="2">
        <v>45</v>
      </c>
    </row>
    <row r="100" spans="1:2" x14ac:dyDescent="0.35">
      <c r="A100" s="3">
        <v>16000</v>
      </c>
      <c r="B100" s="2">
        <v>38</v>
      </c>
    </row>
    <row r="101" spans="1:2" x14ac:dyDescent="0.35">
      <c r="A101" s="3">
        <v>35000</v>
      </c>
      <c r="B101" s="2">
        <v>50</v>
      </c>
    </row>
    <row r="102" spans="1:2" x14ac:dyDescent="0.35">
      <c r="A102" s="3">
        <v>15000</v>
      </c>
      <c r="B102" s="2">
        <v>35</v>
      </c>
    </row>
    <row r="103" spans="1:2" x14ac:dyDescent="0.35">
      <c r="A103" s="3">
        <v>30000</v>
      </c>
      <c r="B103" s="2">
        <v>42</v>
      </c>
    </row>
    <row r="104" spans="1:2" x14ac:dyDescent="0.35">
      <c r="A104" s="3">
        <v>18000</v>
      </c>
      <c r="B104" s="2">
        <v>28</v>
      </c>
    </row>
    <row r="105" spans="1:2" x14ac:dyDescent="0.35">
      <c r="A105" s="3">
        <v>40000</v>
      </c>
      <c r="B105" s="2">
        <v>55</v>
      </c>
    </row>
    <row r="106" spans="1:2" x14ac:dyDescent="0.35">
      <c r="A106" s="3">
        <v>17000</v>
      </c>
      <c r="B106" s="2">
        <v>45</v>
      </c>
    </row>
    <row r="107" spans="1:2" x14ac:dyDescent="0.35">
      <c r="A107" s="3">
        <v>15000</v>
      </c>
      <c r="B107" s="2">
        <v>32</v>
      </c>
    </row>
    <row r="108" spans="1:2" x14ac:dyDescent="0.35">
      <c r="A108" s="3">
        <v>35000</v>
      </c>
      <c r="B108" s="2">
        <v>55</v>
      </c>
    </row>
    <row r="109" spans="1:2" x14ac:dyDescent="0.35">
      <c r="A109" s="3">
        <v>20000</v>
      </c>
      <c r="B109" s="2">
        <v>30</v>
      </c>
    </row>
    <row r="110" spans="1:2" x14ac:dyDescent="0.35">
      <c r="A110" s="3">
        <v>38000</v>
      </c>
      <c r="B110" s="2">
        <v>48</v>
      </c>
    </row>
    <row r="111" spans="1:2" x14ac:dyDescent="0.35">
      <c r="A111" s="3">
        <v>16000</v>
      </c>
      <c r="B111" s="2">
        <v>39</v>
      </c>
    </row>
    <row r="112" spans="1:2" x14ac:dyDescent="0.35">
      <c r="A112" s="3">
        <v>15000000</v>
      </c>
      <c r="B112" s="2">
        <v>45</v>
      </c>
    </row>
    <row r="113" spans="1:2" x14ac:dyDescent="0.35">
      <c r="A113" s="3">
        <v>3500000</v>
      </c>
      <c r="B113" s="2">
        <v>52</v>
      </c>
    </row>
    <row r="114" spans="1:2" x14ac:dyDescent="0.35">
      <c r="A114" s="3">
        <v>30000000</v>
      </c>
      <c r="B114" s="2">
        <v>38</v>
      </c>
    </row>
    <row r="115" spans="1:2" x14ac:dyDescent="0.35">
      <c r="A115" s="3">
        <v>25000000</v>
      </c>
      <c r="B115" s="2">
        <v>40</v>
      </c>
    </row>
    <row r="116" spans="1:2" x14ac:dyDescent="0.35">
      <c r="A116" s="3">
        <v>3000000</v>
      </c>
      <c r="B116" s="2">
        <v>55</v>
      </c>
    </row>
    <row r="117" spans="1:2" x14ac:dyDescent="0.35">
      <c r="A117" s="3">
        <v>15000</v>
      </c>
      <c r="B117" s="2">
        <v>35</v>
      </c>
    </row>
    <row r="118" spans="1:2" x14ac:dyDescent="0.35">
      <c r="A118" s="3">
        <v>30000</v>
      </c>
      <c r="B118" s="2">
        <v>42</v>
      </c>
    </row>
    <row r="119" spans="1:2" x14ac:dyDescent="0.35">
      <c r="A119" s="3">
        <v>18000</v>
      </c>
      <c r="B119" s="2">
        <v>50</v>
      </c>
    </row>
    <row r="120" spans="1:2" x14ac:dyDescent="0.35">
      <c r="A120" s="3">
        <v>20000</v>
      </c>
      <c r="B120" s="2">
        <v>30</v>
      </c>
    </row>
    <row r="121" spans="1:2" x14ac:dyDescent="0.35">
      <c r="A121" s="3">
        <v>35000</v>
      </c>
      <c r="B121" s="2">
        <v>40</v>
      </c>
    </row>
    <row r="122" spans="1:2" x14ac:dyDescent="0.35">
      <c r="A122" s="3">
        <v>15000</v>
      </c>
      <c r="B122" s="2">
        <v>38</v>
      </c>
    </row>
    <row r="123" spans="1:2" x14ac:dyDescent="0.35">
      <c r="A123" s="3">
        <v>32000</v>
      </c>
      <c r="B123" s="2">
        <v>45</v>
      </c>
    </row>
    <row r="124" spans="1:2" x14ac:dyDescent="0.35">
      <c r="A124" s="3">
        <v>19000</v>
      </c>
      <c r="B124" s="2">
        <v>28</v>
      </c>
    </row>
    <row r="125" spans="1:2" x14ac:dyDescent="0.35">
      <c r="A125" s="3">
        <v>17000</v>
      </c>
      <c r="B125" s="2">
        <v>32</v>
      </c>
    </row>
    <row r="126" spans="1:2" x14ac:dyDescent="0.35">
      <c r="A126" s="3">
        <v>40000</v>
      </c>
      <c r="B126" s="2">
        <v>50</v>
      </c>
    </row>
    <row r="127" spans="1:2" x14ac:dyDescent="0.35">
      <c r="A127" s="3">
        <v>15000</v>
      </c>
      <c r="B127" s="2">
        <v>35</v>
      </c>
    </row>
    <row r="128" spans="1:2" x14ac:dyDescent="0.35">
      <c r="A128" s="3">
        <v>30000</v>
      </c>
      <c r="B128" s="2">
        <v>42</v>
      </c>
    </row>
    <row r="129" spans="1:2" x14ac:dyDescent="0.35">
      <c r="A129" s="3">
        <v>16000</v>
      </c>
      <c r="B129" s="2">
        <v>50</v>
      </c>
    </row>
    <row r="130" spans="1:2" x14ac:dyDescent="0.35">
      <c r="A130" s="3">
        <v>18000</v>
      </c>
      <c r="B130" s="2">
        <v>30</v>
      </c>
    </row>
    <row r="131" spans="1:2" x14ac:dyDescent="0.35">
      <c r="A131" s="3">
        <v>32000</v>
      </c>
      <c r="B131" s="2">
        <v>40</v>
      </c>
    </row>
    <row r="132" spans="1:2" x14ac:dyDescent="0.35">
      <c r="A132" s="3">
        <v>15000</v>
      </c>
      <c r="B132" s="2">
        <v>38</v>
      </c>
    </row>
    <row r="133" spans="1:2" x14ac:dyDescent="0.35">
      <c r="A133" s="3">
        <v>30000</v>
      </c>
      <c r="B133" s="2">
        <v>45</v>
      </c>
    </row>
    <row r="134" spans="1:2" x14ac:dyDescent="0.35">
      <c r="A134" s="3">
        <v>19000</v>
      </c>
      <c r="B134" s="2">
        <v>28</v>
      </c>
    </row>
    <row r="135" spans="1:2" x14ac:dyDescent="0.35">
      <c r="A135" s="3">
        <v>17000</v>
      </c>
      <c r="B135" s="2">
        <v>32</v>
      </c>
    </row>
    <row r="136" spans="1:2" x14ac:dyDescent="0.35">
      <c r="A136" s="3">
        <v>40000</v>
      </c>
      <c r="B136" s="2">
        <v>50</v>
      </c>
    </row>
    <row r="137" spans="1:2" x14ac:dyDescent="0.35">
      <c r="A137" s="3">
        <v>15000</v>
      </c>
      <c r="B137" s="2">
        <v>35</v>
      </c>
    </row>
    <row r="138" spans="1:2" x14ac:dyDescent="0.35">
      <c r="A138" s="3">
        <v>30000</v>
      </c>
      <c r="B138" s="2">
        <v>42</v>
      </c>
    </row>
    <row r="139" spans="1:2" x14ac:dyDescent="0.35">
      <c r="A139" s="3">
        <v>16000</v>
      </c>
      <c r="B139" s="2">
        <v>50</v>
      </c>
    </row>
    <row r="140" spans="1:2" x14ac:dyDescent="0.35">
      <c r="A140" s="3">
        <v>18000</v>
      </c>
      <c r="B140" s="2">
        <v>30</v>
      </c>
    </row>
    <row r="141" spans="1:2" x14ac:dyDescent="0.35">
      <c r="A141" s="3">
        <v>35000</v>
      </c>
      <c r="B141" s="2">
        <v>40</v>
      </c>
    </row>
    <row r="142" spans="1:2" x14ac:dyDescent="0.35">
      <c r="A142" s="3">
        <v>15000</v>
      </c>
      <c r="B142" s="2">
        <v>38</v>
      </c>
    </row>
    <row r="143" spans="1:2" x14ac:dyDescent="0.35">
      <c r="A143" s="3">
        <v>32000</v>
      </c>
      <c r="B143" s="2">
        <v>45</v>
      </c>
    </row>
    <row r="144" spans="1:2" x14ac:dyDescent="0.35">
      <c r="A144" s="3">
        <v>19000</v>
      </c>
      <c r="B144" s="2">
        <v>28</v>
      </c>
    </row>
    <row r="145" spans="1:2" x14ac:dyDescent="0.35">
      <c r="A145" s="3">
        <v>17000</v>
      </c>
      <c r="B145" s="2">
        <v>32</v>
      </c>
    </row>
    <row r="146" spans="1:2" x14ac:dyDescent="0.35">
      <c r="A146" s="3">
        <v>40000</v>
      </c>
      <c r="B146" s="2">
        <v>50</v>
      </c>
    </row>
    <row r="147" spans="1:2" x14ac:dyDescent="0.35">
      <c r="A147" s="3">
        <v>15000</v>
      </c>
      <c r="B147" s="2">
        <v>35</v>
      </c>
    </row>
    <row r="148" spans="1:2" x14ac:dyDescent="0.35">
      <c r="A148" s="3">
        <v>30000</v>
      </c>
      <c r="B148" s="2">
        <v>42</v>
      </c>
    </row>
    <row r="149" spans="1:2" x14ac:dyDescent="0.35">
      <c r="A149" s="3">
        <v>16000</v>
      </c>
      <c r="B149" s="2">
        <v>50</v>
      </c>
    </row>
    <row r="150" spans="1:2" x14ac:dyDescent="0.35">
      <c r="A150" s="3">
        <v>18000</v>
      </c>
      <c r="B150" s="2">
        <v>30</v>
      </c>
    </row>
    <row r="151" spans="1:2" x14ac:dyDescent="0.35">
      <c r="A151" s="3">
        <v>32000</v>
      </c>
      <c r="B151" s="2">
        <v>40</v>
      </c>
    </row>
    <row r="152" spans="1:2" x14ac:dyDescent="0.35">
      <c r="A152" s="3">
        <v>15000</v>
      </c>
      <c r="B152" s="2">
        <v>38</v>
      </c>
    </row>
    <row r="153" spans="1:2" x14ac:dyDescent="0.35">
      <c r="A153" s="3">
        <v>30000</v>
      </c>
      <c r="B153" s="2">
        <v>45</v>
      </c>
    </row>
    <row r="154" spans="1:2" x14ac:dyDescent="0.35">
      <c r="A154" s="3">
        <v>19000</v>
      </c>
      <c r="B154" s="2">
        <v>28</v>
      </c>
    </row>
    <row r="155" spans="1:2" x14ac:dyDescent="0.35">
      <c r="A155" s="3">
        <v>17000</v>
      </c>
      <c r="B155" s="2">
        <v>32</v>
      </c>
    </row>
    <row r="156" spans="1:2" x14ac:dyDescent="0.35">
      <c r="A156" s="3">
        <v>40000</v>
      </c>
      <c r="B156" s="2">
        <v>50</v>
      </c>
    </row>
    <row r="157" spans="1:2" x14ac:dyDescent="0.35">
      <c r="A157" s="3">
        <v>15000</v>
      </c>
      <c r="B157" s="2">
        <v>35</v>
      </c>
    </row>
    <row r="158" spans="1:2" x14ac:dyDescent="0.35">
      <c r="A158" s="3">
        <v>30000</v>
      </c>
      <c r="B158" s="2">
        <v>42</v>
      </c>
    </row>
    <row r="159" spans="1:2" x14ac:dyDescent="0.35">
      <c r="A159" s="3">
        <v>16000</v>
      </c>
      <c r="B159" s="2">
        <v>50</v>
      </c>
    </row>
    <row r="160" spans="1:2" x14ac:dyDescent="0.35">
      <c r="A160" s="3">
        <v>18000</v>
      </c>
      <c r="B160" s="2">
        <v>30</v>
      </c>
    </row>
    <row r="161" spans="1:2" x14ac:dyDescent="0.35">
      <c r="A161" s="3">
        <v>32000</v>
      </c>
      <c r="B161" s="2">
        <v>40</v>
      </c>
    </row>
    <row r="162" spans="1:2" x14ac:dyDescent="0.35">
      <c r="A162" s="3">
        <v>15000</v>
      </c>
      <c r="B162" s="2">
        <v>38</v>
      </c>
    </row>
    <row r="163" spans="1:2" x14ac:dyDescent="0.35">
      <c r="A163" s="3">
        <v>30000</v>
      </c>
      <c r="B163" s="2">
        <v>45</v>
      </c>
    </row>
    <row r="164" spans="1:2" x14ac:dyDescent="0.35">
      <c r="A164" s="3">
        <v>19000</v>
      </c>
      <c r="B164" s="2">
        <v>28</v>
      </c>
    </row>
    <row r="165" spans="1:2" x14ac:dyDescent="0.35">
      <c r="A165" s="3">
        <v>17000</v>
      </c>
      <c r="B165" s="2">
        <v>32</v>
      </c>
    </row>
    <row r="166" spans="1:2" x14ac:dyDescent="0.35">
      <c r="A166" s="3">
        <v>40000</v>
      </c>
      <c r="B166" s="2">
        <v>50</v>
      </c>
    </row>
    <row r="167" spans="1:2" x14ac:dyDescent="0.35">
      <c r="A167" s="3">
        <v>3500000</v>
      </c>
      <c r="B167" s="2">
        <v>45</v>
      </c>
    </row>
    <row r="168" spans="1:2" x14ac:dyDescent="0.35">
      <c r="A168" s="3">
        <v>15000000</v>
      </c>
      <c r="B168" s="2">
        <v>55</v>
      </c>
    </row>
    <row r="169" spans="1:2" x14ac:dyDescent="0.35">
      <c r="A169" s="3">
        <v>25000000</v>
      </c>
      <c r="B169" s="2">
        <v>60</v>
      </c>
    </row>
    <row r="170" spans="1:2" x14ac:dyDescent="0.35">
      <c r="A170" s="3">
        <v>4000000</v>
      </c>
      <c r="B170" s="2">
        <v>50</v>
      </c>
    </row>
    <row r="171" spans="1:2" x14ac:dyDescent="0.35">
      <c r="A171" s="3">
        <v>15000</v>
      </c>
      <c r="B171" s="2">
        <v>35</v>
      </c>
    </row>
    <row r="172" spans="1:2" x14ac:dyDescent="0.35">
      <c r="A172" s="3">
        <v>30000</v>
      </c>
      <c r="B172" s="2">
        <v>42</v>
      </c>
    </row>
    <row r="173" spans="1:2" x14ac:dyDescent="0.35">
      <c r="A173" s="3">
        <v>18000</v>
      </c>
      <c r="B173" s="2">
        <v>50</v>
      </c>
    </row>
    <row r="174" spans="1:2" x14ac:dyDescent="0.35">
      <c r="A174" s="3">
        <v>20000</v>
      </c>
      <c r="B174" s="2">
        <v>30</v>
      </c>
    </row>
    <row r="175" spans="1:2" x14ac:dyDescent="0.35">
      <c r="A175" s="3">
        <v>35000</v>
      </c>
      <c r="B175" s="2">
        <v>40</v>
      </c>
    </row>
    <row r="176" spans="1:2" x14ac:dyDescent="0.35">
      <c r="A176" s="3">
        <v>15000</v>
      </c>
      <c r="B176" s="2">
        <v>38</v>
      </c>
    </row>
    <row r="177" spans="1:2" x14ac:dyDescent="0.35">
      <c r="A177" s="3">
        <v>32000</v>
      </c>
      <c r="B177" s="2">
        <v>45</v>
      </c>
    </row>
    <row r="178" spans="1:2" x14ac:dyDescent="0.35">
      <c r="A178" s="3">
        <v>19000</v>
      </c>
      <c r="B178" s="2">
        <v>28</v>
      </c>
    </row>
    <row r="179" spans="1:2" x14ac:dyDescent="0.35">
      <c r="A179" s="3">
        <v>17000</v>
      </c>
      <c r="B179" s="2">
        <v>32</v>
      </c>
    </row>
    <row r="180" spans="1:2" x14ac:dyDescent="0.35">
      <c r="A180" s="3">
        <v>40000</v>
      </c>
      <c r="B180" s="2">
        <v>50</v>
      </c>
    </row>
    <row r="181" spans="1:2" x14ac:dyDescent="0.35">
      <c r="A181" s="3">
        <v>15000</v>
      </c>
      <c r="B181" s="2">
        <v>35</v>
      </c>
    </row>
    <row r="182" spans="1:2" x14ac:dyDescent="0.35">
      <c r="A182" s="3">
        <v>30000</v>
      </c>
      <c r="B182" s="2">
        <v>42</v>
      </c>
    </row>
    <row r="183" spans="1:2" x14ac:dyDescent="0.35">
      <c r="A183" s="3">
        <v>16000</v>
      </c>
      <c r="B183" s="2">
        <v>50</v>
      </c>
    </row>
    <row r="184" spans="1:2" x14ac:dyDescent="0.35">
      <c r="A184" s="3">
        <v>18000</v>
      </c>
      <c r="B184" s="2">
        <v>30</v>
      </c>
    </row>
    <row r="185" spans="1:2" x14ac:dyDescent="0.35">
      <c r="A185" s="3">
        <v>32000</v>
      </c>
      <c r="B185" s="2">
        <v>40</v>
      </c>
    </row>
    <row r="186" spans="1:2" x14ac:dyDescent="0.35">
      <c r="A186" s="3">
        <v>15000</v>
      </c>
      <c r="B186" s="2">
        <v>38</v>
      </c>
    </row>
    <row r="187" spans="1:2" x14ac:dyDescent="0.35">
      <c r="A187" s="3">
        <v>30000</v>
      </c>
      <c r="B187" s="2">
        <v>45</v>
      </c>
    </row>
    <row r="188" spans="1:2" x14ac:dyDescent="0.35">
      <c r="A188" s="3">
        <v>19000</v>
      </c>
      <c r="B188" s="2">
        <v>28</v>
      </c>
    </row>
    <row r="189" spans="1:2" x14ac:dyDescent="0.35">
      <c r="A189" s="3">
        <v>17000</v>
      </c>
      <c r="B189" s="2">
        <v>32</v>
      </c>
    </row>
    <row r="190" spans="1:2" x14ac:dyDescent="0.35">
      <c r="A190" s="3">
        <v>40000</v>
      </c>
      <c r="B190" s="2">
        <v>50</v>
      </c>
    </row>
    <row r="191" spans="1:2" x14ac:dyDescent="0.35">
      <c r="A191" s="3">
        <v>15000</v>
      </c>
      <c r="B191" s="2">
        <v>35</v>
      </c>
    </row>
    <row r="192" spans="1:2" x14ac:dyDescent="0.35">
      <c r="A192" s="3">
        <v>30000</v>
      </c>
      <c r="B192" s="2">
        <v>42</v>
      </c>
    </row>
    <row r="193" spans="1:2" x14ac:dyDescent="0.35">
      <c r="A193" s="3">
        <v>16000</v>
      </c>
      <c r="B193" s="2">
        <v>50</v>
      </c>
    </row>
    <row r="194" spans="1:2" x14ac:dyDescent="0.35">
      <c r="A194" s="3">
        <v>18000</v>
      </c>
      <c r="B194" s="2">
        <v>35</v>
      </c>
    </row>
    <row r="195" spans="1:2" x14ac:dyDescent="0.35">
      <c r="A195" s="3">
        <v>35000</v>
      </c>
      <c r="B195" s="2">
        <v>50</v>
      </c>
    </row>
    <row r="196" spans="1:2" x14ac:dyDescent="0.35">
      <c r="A196" s="3">
        <v>15000</v>
      </c>
      <c r="B196" s="2">
        <v>38</v>
      </c>
    </row>
    <row r="197" spans="1:2" x14ac:dyDescent="0.35">
      <c r="A197" s="3">
        <v>30000</v>
      </c>
      <c r="B197" s="2">
        <v>42</v>
      </c>
    </row>
    <row r="198" spans="1:2" x14ac:dyDescent="0.35">
      <c r="A198" s="3">
        <v>19000</v>
      </c>
      <c r="B198" s="2">
        <v>28</v>
      </c>
    </row>
    <row r="199" spans="1:2" x14ac:dyDescent="0.35">
      <c r="A199" s="3">
        <v>17000</v>
      </c>
      <c r="B199" s="2">
        <v>32</v>
      </c>
    </row>
    <row r="200" spans="1:2" x14ac:dyDescent="0.35">
      <c r="A200" s="3">
        <v>40000</v>
      </c>
      <c r="B200" s="2">
        <v>50</v>
      </c>
    </row>
    <row r="201" spans="1:2" x14ac:dyDescent="0.35">
      <c r="A201" s="3">
        <v>15000</v>
      </c>
      <c r="B201" s="2">
        <v>35</v>
      </c>
    </row>
    <row r="202" spans="1:2" x14ac:dyDescent="0.35">
      <c r="A202" s="3">
        <v>30000</v>
      </c>
      <c r="B202" s="2">
        <v>42</v>
      </c>
    </row>
    <row r="203" spans="1:2" x14ac:dyDescent="0.35">
      <c r="A203" s="3">
        <v>16000</v>
      </c>
      <c r="B203" s="2">
        <v>50</v>
      </c>
    </row>
    <row r="204" spans="1:2" x14ac:dyDescent="0.35">
      <c r="A204" s="3">
        <v>18000</v>
      </c>
      <c r="B204" s="2">
        <v>30</v>
      </c>
    </row>
    <row r="205" spans="1:2" x14ac:dyDescent="0.35">
      <c r="A205" s="3">
        <v>32000</v>
      </c>
      <c r="B205" s="2">
        <v>40</v>
      </c>
    </row>
    <row r="206" spans="1:2" x14ac:dyDescent="0.35">
      <c r="A206" s="3">
        <v>15000</v>
      </c>
      <c r="B206" s="2">
        <v>38</v>
      </c>
    </row>
    <row r="207" spans="1:2" x14ac:dyDescent="0.35">
      <c r="A207" s="3">
        <v>30000</v>
      </c>
      <c r="B207" s="2">
        <v>45</v>
      </c>
    </row>
    <row r="208" spans="1:2" x14ac:dyDescent="0.35">
      <c r="A208" s="3">
        <v>19000</v>
      </c>
      <c r="B208" s="2">
        <v>28</v>
      </c>
    </row>
    <row r="209" spans="1:2" x14ac:dyDescent="0.35">
      <c r="A209" s="3">
        <v>17000</v>
      </c>
      <c r="B209" s="2">
        <v>32</v>
      </c>
    </row>
    <row r="210" spans="1:2" x14ac:dyDescent="0.35">
      <c r="A210" s="3">
        <v>40000</v>
      </c>
      <c r="B210" s="2">
        <v>50</v>
      </c>
    </row>
    <row r="211" spans="1:2" x14ac:dyDescent="0.35">
      <c r="A211" s="3">
        <v>15000</v>
      </c>
      <c r="B211" s="2">
        <v>35</v>
      </c>
    </row>
    <row r="212" spans="1:2" x14ac:dyDescent="0.35">
      <c r="A212" s="3">
        <v>30000</v>
      </c>
      <c r="B212" s="2">
        <v>42</v>
      </c>
    </row>
    <row r="213" spans="1:2" x14ac:dyDescent="0.35">
      <c r="A213" s="3">
        <v>16000</v>
      </c>
      <c r="B213" s="2">
        <v>50</v>
      </c>
    </row>
    <row r="214" spans="1:2" x14ac:dyDescent="0.35">
      <c r="A214" s="3">
        <v>18000</v>
      </c>
      <c r="B214" s="2">
        <v>30</v>
      </c>
    </row>
    <row r="215" spans="1:2" x14ac:dyDescent="0.35">
      <c r="A215" s="3">
        <v>32000</v>
      </c>
      <c r="B215" s="2">
        <v>40</v>
      </c>
    </row>
    <row r="217" spans="1:2" x14ac:dyDescent="0.35">
      <c r="A217" s="5"/>
    </row>
    <row r="218" spans="1:2" x14ac:dyDescent="0.35">
      <c r="A218" s="5"/>
    </row>
    <row r="219" spans="1:2" x14ac:dyDescent="0.35">
      <c r="A219" s="6"/>
    </row>
    <row r="220" spans="1:2" x14ac:dyDescent="0.35">
      <c r="A220" s="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E4CE-D430-4D85-A0E5-43B69BE1698A}">
  <dimension ref="A1:G8"/>
  <sheetViews>
    <sheetView topLeftCell="A7" workbookViewId="0">
      <selection activeCell="P21" sqref="P21"/>
    </sheetView>
  </sheetViews>
  <sheetFormatPr defaultRowHeight="14.5" x14ac:dyDescent="0.35"/>
  <cols>
    <col min="1" max="1" width="13.54296875" bestFit="1" customWidth="1"/>
    <col min="2" max="2" width="26.1796875" bestFit="1" customWidth="1"/>
    <col min="3" max="3" width="26.453125" bestFit="1" customWidth="1"/>
    <col min="6" max="6" width="9.1796875" bestFit="1" customWidth="1"/>
    <col min="7" max="7" width="13.54296875" bestFit="1" customWidth="1"/>
  </cols>
  <sheetData>
    <row r="1" spans="1:7" x14ac:dyDescent="0.35">
      <c r="A1" s="7" t="s">
        <v>66</v>
      </c>
      <c r="B1" t="s">
        <v>68</v>
      </c>
      <c r="C1" t="s">
        <v>69</v>
      </c>
      <c r="F1" t="s">
        <v>73</v>
      </c>
      <c r="G1" t="s">
        <v>66</v>
      </c>
    </row>
    <row r="2" spans="1:7" x14ac:dyDescent="0.35">
      <c r="A2" s="8" t="s">
        <v>28</v>
      </c>
      <c r="B2">
        <v>0</v>
      </c>
      <c r="C2">
        <v>1079000</v>
      </c>
      <c r="F2">
        <v>1075060</v>
      </c>
      <c r="G2" t="s">
        <v>28</v>
      </c>
    </row>
    <row r="3" spans="1:7" x14ac:dyDescent="0.35">
      <c r="A3" s="9" t="s">
        <v>24</v>
      </c>
      <c r="B3">
        <v>1270000</v>
      </c>
      <c r="C3">
        <v>909000</v>
      </c>
      <c r="F3">
        <v>2173720</v>
      </c>
      <c r="G3" t="s">
        <v>24</v>
      </c>
    </row>
    <row r="4" spans="1:7" x14ac:dyDescent="0.35">
      <c r="A4" s="8" t="s">
        <v>29</v>
      </c>
      <c r="B4">
        <v>160000</v>
      </c>
      <c r="C4">
        <v>24000</v>
      </c>
      <c r="F4">
        <v>183520</v>
      </c>
      <c r="G4" t="s">
        <v>29</v>
      </c>
    </row>
    <row r="5" spans="1:7" x14ac:dyDescent="0.35">
      <c r="A5" s="9" t="s">
        <v>20</v>
      </c>
      <c r="B5">
        <v>980000</v>
      </c>
      <c r="C5">
        <v>555000</v>
      </c>
      <c r="F5">
        <v>1531660</v>
      </c>
      <c r="G5" t="s">
        <v>20</v>
      </c>
    </row>
    <row r="6" spans="1:7" x14ac:dyDescent="0.35">
      <c r="A6" s="8" t="s">
        <v>74</v>
      </c>
      <c r="B6">
        <v>630000</v>
      </c>
      <c r="C6">
        <v>1207000</v>
      </c>
      <c r="F6">
        <v>1832100</v>
      </c>
      <c r="G6" t="s">
        <v>74</v>
      </c>
    </row>
    <row r="7" spans="1:7" x14ac:dyDescent="0.35">
      <c r="A7" s="9" t="s">
        <v>49</v>
      </c>
      <c r="B7">
        <v>600000</v>
      </c>
      <c r="C7">
        <v>199000</v>
      </c>
      <c r="F7">
        <v>797730</v>
      </c>
      <c r="G7" t="s">
        <v>49</v>
      </c>
    </row>
    <row r="8" spans="1:7" x14ac:dyDescent="0.35">
      <c r="A8" s="8" t="s">
        <v>62</v>
      </c>
      <c r="B8">
        <v>570000</v>
      </c>
      <c r="C8">
        <v>680000</v>
      </c>
      <c r="F8">
        <v>1245750</v>
      </c>
      <c r="G8" t="s">
        <v>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40DEEF-7500-4EDF-80AF-2EB2A94A6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Data </vt:lpstr>
      <vt:lpstr>competitor analysis</vt:lpstr>
      <vt:lpstr>deals per location </vt:lpstr>
      <vt:lpstr>rent vs sales</vt:lpstr>
      <vt:lpstr>corelation between comm &amp; deal</vt:lpstr>
      <vt:lpstr>corelation graph</vt:lpstr>
      <vt:lpstr>Frequency distribution </vt:lpstr>
      <vt:lpstr>measures of central tendency </vt:lpstr>
      <vt:lpstr>count </vt:lpstr>
      <vt:lpstr>histogram amt and age</vt:lpstr>
      <vt:lpstr>comm and location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Manisha Pal</dc:creator>
  <cp:keywords/>
  <dc:description/>
  <cp:lastModifiedBy>Manisha Pal</cp:lastModifiedBy>
  <cp:revision/>
  <dcterms:created xsi:type="dcterms:W3CDTF">2024-07-15T15:36:50Z</dcterms:created>
  <dcterms:modified xsi:type="dcterms:W3CDTF">2024-11-06T15:20:36Z</dcterms:modified>
  <cp:category/>
  <cp:contentStatus/>
</cp:coreProperties>
</file>